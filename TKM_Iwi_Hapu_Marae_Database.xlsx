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omments11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tables/table8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9.xml" ContentType="application/vnd.openxmlformats-officedocument.spreadsheetml.table+xml"/>
  <Override PartName="/xl/tables/table1.xml" ContentType="application/vnd.openxmlformats-officedocument.spreadsheetml.table+xml"/>
  <Override PartName="/xl/comments9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egion" sheetId="2" state="visible" r:id="rId4"/>
    <sheet name="Iwi" sheetId="3" state="visible" r:id="rId5"/>
    <sheet name="Iwi_Region" sheetId="4" state="visible" r:id="rId6"/>
    <sheet name="Iwi_LocalAuthority" sheetId="5" state="visible" r:id="rId7"/>
    <sheet name="Hapu" sheetId="6" state="visible" r:id="rId8"/>
    <sheet name="Marae" sheetId="7" state="visible" r:id="rId9"/>
    <sheet name="Marae_Hapu" sheetId="8" state="visible" r:id="rId10"/>
    <sheet name="Representative_Org" sheetId="9" state="visible" r:id="rId11"/>
    <sheet name="Contact" sheetId="10" state="visible" r:id="rId12"/>
    <sheet name="Map_Export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Navigation regions used by TKM. TKM states these are indicative only.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Complete list of 117 distinct iwi/groups (127 region listings) from the 13 TKM region pages (16 Sep 2026). mfa_status: 'Recognised iwi in the Māori Fisheries Act 2004' or blank. Names in brackets disambiguate iwi that share a name (e.g. Ngāti Maru Hauraki vs Taranaki) – the slug in tkm_url is the authoritative key.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Every (iwi, region) pairing shown on TKM region pages. Some iwi appear in two regions.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From 'This rohe extends into the regions or districts of these local authorities'. Auckland Council is a unitary authority so appears under both types.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One row per hapū per iwi page. If the same hapū is listed under two iwi, create two rows (different hapu_id) and record it in notes.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One row per physical marae. Marae shared by several hapū/iwi appear ONCE here and many times in Marae_Hapu. latitude/longitude = WGS84 decimal degrees (EPSG:4326); NZ longitudes are ~166–179 E, latitudes ~-34 to -47 (Chatham Islands ~-44, 176 W). marae_type: Iwi marae / Urban-Community marae / Institutional marae (TKM lists the latter two separately at /marae/). Wharenui '*No wharenui*' and '*Building in progress*' are TKM's own placeholders.</t>
        </r>
      </text>
    </comment>
    <comment ref="I1" authorId="0">
      <text>
        <r>
          <rPr>
            <sz val="10"/>
            <rFont val="Arial"/>
            <family val="2"/>
          </rPr>
          <t xml:space="preserve">FILL IN: WGS84 latitude, decimal degrees, negative for NZ. Best source: TPK ArcGIS marae layer.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Junction table. A blank hapū cell on TKM means 'same hapū as the row above' – resolve that before loading.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Flags are Y/N and map to the icons on each TKM org entry: treaty_mandate = mandate recognised for Treaty settlement negotiations; psge = post-settlement governance entity (settlement_act names the Act); mfa_mandated = Mandated Iwi Organisation (MFA 2004); mfa_recognised = Recognised Iwi Organisation; iao = Iwi Aquaculture Organisation; rma_iwi_authority = represents the iwi as 'iwi authority' under RMA 1991; tuhono = Tūhono organisation. org_role: Iwi Representative Organisation / Hapū Representative Organisation / Other Iwi Authority (RMA).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Roles seen on TKM: Chair, CEO, General Manager, Secretary, RMA Contact, Contact Person. Personal details are published by the org 'at their discretion' – keep this table current and respect privacy.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FORMULA-DRIVEN – do not type here. Extend by copying row 2 down as Marae grows. Rows are one per marae; hapu_names concatenates every hapū linked in Marae_Hapu; iwi/org columns use the first linked iwi (a marae linked to multiple iwi will need a second row or a custom export).</t>
        </r>
      </text>
    </comment>
  </commentList>
</comments>
</file>

<file path=xl/sharedStrings.xml><?xml version="1.0" encoding="utf-8"?>
<sst xmlns="http://schemas.openxmlformats.org/spreadsheetml/2006/main" count="1137" uniqueCount="610">
  <si>
    <t xml:space="preserve">TKM Iwi / Hapū / Marae Database</t>
  </si>
  <si>
    <t xml:space="preserve">Purpose</t>
  </si>
  <si>
    <t xml:space="preserve">Relational structure for storing iwi, hapū, rohe, marae and representative-organisation data from Te Kāhui Māngai (TKM, tkm.govt.nz), designed so marae can be mapped as points with clickable pop-ups showing hapū, iwi, rohe and representative contacts.</t>
  </si>
  <si>
    <t xml:space="preserve">Source</t>
  </si>
  <si>
    <t xml:space="preserve">Te Kāhui Māngai – Directory of Iwi and Māori Organisations, owned and maintained by Te Puni Kōkiri. https://www.tkm.govt.nz/  Read the Disclaimer and Copyright pages before republishing. Rohe map images/PDFs on TKM may not be reproduced without permission of the relevant iwi organisation.</t>
  </si>
  <si>
    <t xml:space="preserve">Seeded on</t>
  </si>
  <si>
    <t xml:space="preserve">16 Sep 2026, from the 13 region pages on tkm.govt.nz/map/. Region and Iwi tables are complete (117 distinct iwi/groups, 127 region listings). Hapū, Marae and Representative Organisation tables are seeded with one fully worked example (Ngātiwai) so you can see the expected format; populate the rest with the scraper script or by hand.</t>
  </si>
  <si>
    <t xml:space="preserve">Colour legend</t>
  </si>
  <si>
    <t xml:space="preserve">Green rows = worked example (Ngātiwai). Yellow header comments = guidance. All other cells are for you to fill. Map_Export is formula-driven — do not type into it.</t>
  </si>
  <si>
    <t xml:space="preserve">TABLES (one sheet each)</t>
  </si>
  <si>
    <t xml:space="preserve">Region</t>
  </si>
  <si>
    <t xml:space="preserve">The 13 TKM navigation regions (indicative only, per TKM).</t>
  </si>
  <si>
    <t xml:space="preserve">Iwi</t>
  </si>
  <si>
    <t xml:space="preserve">One row per iwi/hapū group that has its own TKM page. Population, MFA status, rohe description are on the iwi page.</t>
  </si>
  <si>
    <t xml:space="preserve">Iwi_Region</t>
  </si>
  <si>
    <t xml:space="preserve">Many-to-many: an iwi can be listed under more than one region (e.g. Ngāti Whātua, Waikato-Tainui, Rangitāne, Ngāti Toa).</t>
  </si>
  <si>
    <t xml:space="preserve">Iwi_LocalAuthority</t>
  </si>
  <si>
    <t xml:space="preserve">Many-to-many: regional councils and territorial authorities the rohe extends into (from 'This rohe extends into…').</t>
  </si>
  <si>
    <t xml:space="preserve">Hapu</t>
  </si>
  <si>
    <t xml:space="preserve">One row per hapū, linked to its iwi. A hapū name may appear under several iwi — treat each iwi-hapū pairing as a separate row.</t>
  </si>
  <si>
    <t xml:space="preserve">Marae</t>
  </si>
  <si>
    <t xml:space="preserve">THE GEOSPATIAL TABLE. One row per physical marae with lat/long (WGS84, EPSG:4326). Also carry NZTM (EPSG:2193) if you work in NZ GIS. Same marae can appear on several iwi pages — de-duplicate here and link via Marae_Hapu.</t>
  </si>
  <si>
    <t xml:space="preserve">Marae_Hapu</t>
  </si>
  <si>
    <t xml:space="preserve">Many-to-many: which hapū (and therefore iwi) affiliate to each marae. On TKM a blank hapū cell means 'same hapū as the row above'.</t>
  </si>
  <si>
    <t xml:space="preserve">Representative_Org</t>
  </si>
  <si>
    <t xml:space="preserve">Mandated / recognised organisations per iwi with legal entity, governance, addresses, mandate flags (MFA, IAO, Treaty, PSGE, RMA iwi authority, Tūhono). An iwi can have more than one.</t>
  </si>
  <si>
    <t xml:space="preserve">Contact</t>
  </si>
  <si>
    <t xml:space="preserve">People: Chair, CEO, RMA contact, etc., linked to the organisation.</t>
  </si>
  <si>
    <t xml:space="preserve">Map_Export</t>
  </si>
  <si>
    <t xml:space="preserve">Flattened, formula-driven view (one row per marae) for loading into ArcGIS / QGIS / Leaflet / Mapbox. Pop-up text is assembled in the last column.</t>
  </si>
  <si>
    <t xml:space="preserve">GEOCODING</t>
  </si>
  <si>
    <t xml:space="preserve">Best source</t>
  </si>
  <si>
    <t xml:space="preserve">Te Puni Kōkiri publishes a marae point layer with coordinates on ArcGIS Online (GIS Marae Viewer, linked from tkm.govt.nz/links/). Join on marae name + locality to fill latitude/longitude, and set geocode_source = 'TPK ArcGIS'. Iwi Areas of Interest polygons are also on TPK ArcGIS — use those for rohe boundaries rather than the JPG maps on TKM.</t>
  </si>
  <si>
    <t xml:space="preserve">Fallback</t>
  </si>
  <si>
    <t xml:space="preserve">Geocode the street address (Marae.address_line + locality) with LINZ Address / NZ Post / Google. Record the method in geocode_source and a confidence in geocode_accuracy (Exact / Street / Locality / Unknown).</t>
  </si>
  <si>
    <t xml:space="preserve">WORKFLOW</t>
  </si>
  <si>
    <t xml:space="preserve">1</t>
  </si>
  <si>
    <t xml:space="preserve">Run tkm_scraper.py (supplied) locally: it walks every iwi URL in the Iwi sheet and writes CSVs matching these sheets. Paste them in, or load the CSVs straight into SQLite/PostGIS using tkm_schema.sql.</t>
  </si>
  <si>
    <t xml:space="preserve">2</t>
  </si>
  <si>
    <t xml:space="preserve">Fill Marae.latitude / longitude from the TPK ArcGIS layer or geocoding.</t>
  </si>
  <si>
    <t xml:space="preserve">3</t>
  </si>
  <si>
    <t xml:space="preserve">Map_Export recalculates automatically. Export it (or query the view in the SQL schema) as CSV/GeoJSON for your web map; use popup_html for the click-through content.</t>
  </si>
  <si>
    <t xml:space="preserve">4</t>
  </si>
  <si>
    <t xml:space="preserve">Check org 'last_updated' against TKM periodically — contacts change often.</t>
  </si>
  <si>
    <t xml:space="preserve">region_id</t>
  </si>
  <si>
    <t xml:space="preserve">region_name</t>
  </si>
  <si>
    <t xml:space="preserve">tkm_url</t>
  </si>
  <si>
    <t xml:space="preserve">notes</t>
  </si>
  <si>
    <t xml:space="preserve">R01</t>
  </si>
  <si>
    <t xml:space="preserve">Te Tai Tokerau</t>
  </si>
  <si>
    <t xml:space="preserve">https://www.tkm.govt.nz/region/te-tai-tokerau/</t>
  </si>
  <si>
    <t xml:space="preserve">R02</t>
  </si>
  <si>
    <t xml:space="preserve">Tāmaki</t>
  </si>
  <si>
    <t xml:space="preserve">https://www.tkm.govt.nz/region/tamaki/</t>
  </si>
  <si>
    <t xml:space="preserve">R03</t>
  </si>
  <si>
    <t xml:space="preserve">Hauraki</t>
  </si>
  <si>
    <t xml:space="preserve">https://www.tkm.govt.nz/region/hauraki/</t>
  </si>
  <si>
    <t xml:space="preserve">R04</t>
  </si>
  <si>
    <t xml:space="preserve">Tainui</t>
  </si>
  <si>
    <t xml:space="preserve">https://www.tkm.govt.nz/region/tainui/</t>
  </si>
  <si>
    <t xml:space="preserve">R05</t>
  </si>
  <si>
    <t xml:space="preserve">Tauranga Moana</t>
  </si>
  <si>
    <t xml:space="preserve">https://www.tkm.govt.nz/region/tauranga-moana/</t>
  </si>
  <si>
    <t xml:space="preserve">R06</t>
  </si>
  <si>
    <t xml:space="preserve">Te Arawa Waka</t>
  </si>
  <si>
    <t xml:space="preserve">https://www.tkm.govt.nz/region/te-arawa-waka/</t>
  </si>
  <si>
    <t xml:space="preserve">R07</t>
  </si>
  <si>
    <t xml:space="preserve">Mātaatua</t>
  </si>
  <si>
    <t xml:space="preserve">https://www.tkm.govt.nz/region/mataatua/</t>
  </si>
  <si>
    <t xml:space="preserve">R08</t>
  </si>
  <si>
    <t xml:space="preserve">Te Tai Rāwhiti</t>
  </si>
  <si>
    <t xml:space="preserve">https://www.tkm.govt.nz/region/te-tai-rawhiti/</t>
  </si>
  <si>
    <t xml:space="preserve">R09</t>
  </si>
  <si>
    <t xml:space="preserve">Tākitimu</t>
  </si>
  <si>
    <t xml:space="preserve">https://www.tkm.govt.nz/region/takitimu/</t>
  </si>
  <si>
    <t xml:space="preserve">R10</t>
  </si>
  <si>
    <t xml:space="preserve">Hauāuru</t>
  </si>
  <si>
    <t xml:space="preserve">https://www.tkm.govt.nz/region/hauauru/</t>
  </si>
  <si>
    <t xml:space="preserve">R11</t>
  </si>
  <si>
    <t xml:space="preserve">Te Moana O Raukawa</t>
  </si>
  <si>
    <t xml:space="preserve">https://www.tkm.govt.nz/region/te-moana-o-raukawa/</t>
  </si>
  <si>
    <t xml:space="preserve">R12</t>
  </si>
  <si>
    <t xml:space="preserve">Te Tau Ihu</t>
  </si>
  <si>
    <t xml:space="preserve">https://www.tkm.govt.nz/region/te-tau-ihu/</t>
  </si>
  <si>
    <t xml:space="preserve">R13</t>
  </si>
  <si>
    <t xml:space="preserve">Waipounamu and Rēkohu/Wharekauri</t>
  </si>
  <si>
    <t xml:space="preserve">https://www.tkm.govt.nz/region/waipounamu-rekohu-wharekauri/</t>
  </si>
  <si>
    <t xml:space="preserve">iwi_id</t>
  </si>
  <si>
    <t xml:space="preserve">iwi_name</t>
  </si>
  <si>
    <t xml:space="preserve">primary_region_id</t>
  </si>
  <si>
    <t xml:space="preserve">mfa_status</t>
  </si>
  <si>
    <t xml:space="preserve">population</t>
  </si>
  <si>
    <t xml:space="preserve">population_source</t>
  </si>
  <si>
    <t xml:space="preserve">rohe_description</t>
  </si>
  <si>
    <t xml:space="preserve">rohe_map_image_url</t>
  </si>
  <si>
    <t xml:space="preserve">rohe_document_url</t>
  </si>
  <si>
    <t xml:space="preserve">rohe_copyright_holder</t>
  </si>
  <si>
    <t xml:space="preserve">tkm_last_updated</t>
  </si>
  <si>
    <t xml:space="preserve">I001</t>
  </si>
  <si>
    <t xml:space="preserve">Ngāi Takoto</t>
  </si>
  <si>
    <t xml:space="preserve">https://www.tkm.govt.nz/iwi/ngai-takoto/</t>
  </si>
  <si>
    <t xml:space="preserve">I002</t>
  </si>
  <si>
    <t xml:space="preserve">Ngāti Kurī</t>
  </si>
  <si>
    <t xml:space="preserve">https://www.tkm.govt.nz/iwi/ngati-kuri/</t>
  </si>
  <si>
    <t xml:space="preserve">I003</t>
  </si>
  <si>
    <t xml:space="preserve">Te Aupōuri</t>
  </si>
  <si>
    <t xml:space="preserve">https://www.tkm.govt.nz/iwi/te-aupouri/</t>
  </si>
  <si>
    <t xml:space="preserve">I004</t>
  </si>
  <si>
    <t xml:space="preserve">Te Rarawa</t>
  </si>
  <si>
    <t xml:space="preserve">https://www.tkm.govt.nz/iwi/te-rarawa/</t>
  </si>
  <si>
    <t xml:space="preserve">I005</t>
  </si>
  <si>
    <t xml:space="preserve">Ngāti Kahu</t>
  </si>
  <si>
    <t xml:space="preserve">https://www.tkm.govt.nz/iwi/ngati-kahu/</t>
  </si>
  <si>
    <t xml:space="preserve">I006</t>
  </si>
  <si>
    <t xml:space="preserve">Ngāti Kahu ki Whangaroa</t>
  </si>
  <si>
    <t xml:space="preserve">https://www.tkm.govt.nz/iwi/ngati-kahu-ki-whangaroa/</t>
  </si>
  <si>
    <t xml:space="preserve">I007</t>
  </si>
  <si>
    <t xml:space="preserve">Ngāpuhi / Ngāti Kahu ki Whaingaroa</t>
  </si>
  <si>
    <t xml:space="preserve">https://www.tkm.govt.nz/iwi/ngapuhi-ngati-kahu-ki-whangaroa/</t>
  </si>
  <si>
    <t xml:space="preserve">I008</t>
  </si>
  <si>
    <t xml:space="preserve">Te Roroa</t>
  </si>
  <si>
    <t xml:space="preserve">https://www.tkm.govt.nz/iwi/te-roroa/</t>
  </si>
  <si>
    <t xml:space="preserve">I009</t>
  </si>
  <si>
    <t xml:space="preserve">Ngāpuhi</t>
  </si>
  <si>
    <t xml:space="preserve">https://www.tkm.govt.nz/iwi/ngapuhi/</t>
  </si>
  <si>
    <t xml:space="preserve">I010</t>
  </si>
  <si>
    <t xml:space="preserve">Ngātiwai</t>
  </si>
  <si>
    <t xml:space="preserve">https://www.tkm.govt.nz/iwi/ngatiwai/</t>
  </si>
  <si>
    <t xml:space="preserve">Recognised iwi in the Māori Fisheries Act 2004</t>
  </si>
  <si>
    <t xml:space="preserve">Census 2013</t>
  </si>
  <si>
    <t xml:space="preserve">This rohe map represents the area over which Ngātiwai exercises kaitiakitanga for the purposes of the Resource Management Act 1991.</t>
  </si>
  <si>
    <t xml:space="preserve">https://www.tkm.govt.nz/rohe/9.jpg</t>
  </si>
  <si>
    <t xml:space="preserve">https://www.tkm.govt.nz/rohe/ngatiwai.pdf</t>
  </si>
  <si>
    <t xml:space="preserve">Ngātiwai Trust</t>
  </si>
  <si>
    <t xml:space="preserve">2025-03-11</t>
  </si>
  <si>
    <t xml:space="preserve">I011</t>
  </si>
  <si>
    <t xml:space="preserve">Ngāti Whātua</t>
  </si>
  <si>
    <t xml:space="preserve">https://www.tkm.govt.nz/iwi/ngati-whatua/</t>
  </si>
  <si>
    <t xml:space="preserve">I012</t>
  </si>
  <si>
    <t xml:space="preserve">Te Uri o Hau</t>
  </si>
  <si>
    <t xml:space="preserve">https://www.tkm.govt.nz/iwi/te-uri-o-hau/</t>
  </si>
  <si>
    <t xml:space="preserve">I013</t>
  </si>
  <si>
    <t xml:space="preserve">Ngāti Whātua o Kaipara</t>
  </si>
  <si>
    <t xml:space="preserve">https://www.tkm.govt.nz/iwi/ngati-whatua-o-kaipara/</t>
  </si>
  <si>
    <t xml:space="preserve">I014</t>
  </si>
  <si>
    <t xml:space="preserve">Ngāti Whātua o Ōrākei</t>
  </si>
  <si>
    <t xml:space="preserve">https://www.tkm.govt.nz/iwi/ngati-whatua-o-orakei/</t>
  </si>
  <si>
    <t xml:space="preserve">I015</t>
  </si>
  <si>
    <t xml:space="preserve">Ngāti Rehua</t>
  </si>
  <si>
    <t xml:space="preserve">https://www.tkm.govt.nz/iwi/ngati-rehua/</t>
  </si>
  <si>
    <t xml:space="preserve">I016</t>
  </si>
  <si>
    <t xml:space="preserve">Ngāti Manuhiri</t>
  </si>
  <si>
    <t xml:space="preserve">https://www.tkm.govt.nz/iwi/ngati-manuhiri/</t>
  </si>
  <si>
    <t xml:space="preserve">I017</t>
  </si>
  <si>
    <t xml:space="preserve">Te Kawerau ā Maki</t>
  </si>
  <si>
    <t xml:space="preserve">https://www.tkm.govt.nz/iwi/te-kawerau-a-maki/</t>
  </si>
  <si>
    <t xml:space="preserve">I018</t>
  </si>
  <si>
    <t xml:space="preserve">Ngāti Tamaoho</t>
  </si>
  <si>
    <t xml:space="preserve">https://www.tkm.govt.nz/iwi/ngati-tamaoho/</t>
  </si>
  <si>
    <t xml:space="preserve">I019</t>
  </si>
  <si>
    <t xml:space="preserve">Te Ākitai Waiohua</t>
  </si>
  <si>
    <t xml:space="preserve">https://www.tkm.govt.nz/iwi/te-akitai-waiohua/</t>
  </si>
  <si>
    <t xml:space="preserve">I020</t>
  </si>
  <si>
    <t xml:space="preserve">Ngāti Maru (Hauraki)</t>
  </si>
  <si>
    <t xml:space="preserve">https://www.tkm.govt.nz/iwi/ngati-maru-hauraki/</t>
  </si>
  <si>
    <t xml:space="preserve">I021</t>
  </si>
  <si>
    <t xml:space="preserve">Te Patukirikiri</t>
  </si>
  <si>
    <t xml:space="preserve">https://www.tkm.govt.nz/iwi/te-patukirikiri/</t>
  </si>
  <si>
    <t xml:space="preserve">I022</t>
  </si>
  <si>
    <t xml:space="preserve">Ngāti Pāoa</t>
  </si>
  <si>
    <t xml:space="preserve">https://www.tkm.govt.nz/iwi/ngati-paoa/</t>
  </si>
  <si>
    <t xml:space="preserve">I023</t>
  </si>
  <si>
    <t xml:space="preserve">Ngāti Tamaterā</t>
  </si>
  <si>
    <t xml:space="preserve">https://www.tkm.govt.nz/iwi/ngati-tamatera/</t>
  </si>
  <si>
    <t xml:space="preserve">I024</t>
  </si>
  <si>
    <t xml:space="preserve">Ngāi Tai ki Tāmaki</t>
  </si>
  <si>
    <t xml:space="preserve">https://www.tkm.govt.nz/iwi/ngai-tai-ki-tamaki/</t>
  </si>
  <si>
    <t xml:space="preserve">I025</t>
  </si>
  <si>
    <t xml:space="preserve">Ngāti Whanaunga</t>
  </si>
  <si>
    <t xml:space="preserve">https://www.tkm.govt.nz/iwi/ngati-whanaunga/</t>
  </si>
  <si>
    <t xml:space="preserve">I026</t>
  </si>
  <si>
    <t xml:space="preserve">Ngāti Te Ata</t>
  </si>
  <si>
    <t xml:space="preserve">https://www.tkm.govt.nz/iwi/ngati-te-ata/</t>
  </si>
  <si>
    <t xml:space="preserve">I027</t>
  </si>
  <si>
    <t xml:space="preserve">Waikato-Tainui</t>
  </si>
  <si>
    <t xml:space="preserve">https://www.tkm.govt.nz/iwi/waikato/</t>
  </si>
  <si>
    <t xml:space="preserve">I028</t>
  </si>
  <si>
    <t xml:space="preserve">Ngāti Hako</t>
  </si>
  <si>
    <t xml:space="preserve">https://www.tkm.govt.nz/iwi/ngati-hako/</t>
  </si>
  <si>
    <t xml:space="preserve">I029</t>
  </si>
  <si>
    <t xml:space="preserve">Ngāti Hei</t>
  </si>
  <si>
    <t xml:space="preserve">https://www.tkm.govt.nz/iwi/ngati-hei/</t>
  </si>
  <si>
    <t xml:space="preserve">I030</t>
  </si>
  <si>
    <t xml:space="preserve">Ngāti Porou ki Hauraki</t>
  </si>
  <si>
    <t xml:space="preserve">https://www.tkm.govt.nz/iwi/ngati-porou-ki-hauraki/</t>
  </si>
  <si>
    <t xml:space="preserve">I031</t>
  </si>
  <si>
    <t xml:space="preserve">Ngāti Pūkenga ki Waiau</t>
  </si>
  <si>
    <t xml:space="preserve">https://www.tkm.govt.nz/iwi/ngati-pukenga-ki-waiau/</t>
  </si>
  <si>
    <t xml:space="preserve">I032</t>
  </si>
  <si>
    <t xml:space="preserve">Ngāti Rāhiri Tumutumu</t>
  </si>
  <si>
    <t xml:space="preserve">https://www.tkm.govt.nz/iwi/ngati-rahiri-tumutumu/</t>
  </si>
  <si>
    <t xml:space="preserve">I033</t>
  </si>
  <si>
    <t xml:space="preserve">Ngāti Tara Tokanui</t>
  </si>
  <si>
    <t xml:space="preserve">https://www.tkm.govt.nz/iwi/ngati-tara-tokanui/</t>
  </si>
  <si>
    <t xml:space="preserve">I034</t>
  </si>
  <si>
    <t xml:space="preserve">Ngāti Korokī Kahukura</t>
  </si>
  <si>
    <t xml:space="preserve">https://www.tkm.govt.nz/iwi/ngati-koroki-kahukura/</t>
  </si>
  <si>
    <t xml:space="preserve">I035</t>
  </si>
  <si>
    <t xml:space="preserve">Ngāti Hauā</t>
  </si>
  <si>
    <t xml:space="preserve">https://www.tkm.govt.nz/iwi/ngati-haua/</t>
  </si>
  <si>
    <t xml:space="preserve">I036</t>
  </si>
  <si>
    <t xml:space="preserve">Raukawa</t>
  </si>
  <si>
    <t xml:space="preserve">https://www.tkm.govt.nz/iwi/raukawa/</t>
  </si>
  <si>
    <t xml:space="preserve">I037</t>
  </si>
  <si>
    <t xml:space="preserve">Ngāti Hinerangi</t>
  </si>
  <si>
    <t xml:space="preserve">https://www.tkm.govt.nz/iwi/ngati-hinerangi/</t>
  </si>
  <si>
    <t xml:space="preserve">I038</t>
  </si>
  <si>
    <t xml:space="preserve">Maniapoto</t>
  </si>
  <si>
    <t xml:space="preserve">https://www.tkm.govt.nz/iwi/maniapoto/</t>
  </si>
  <si>
    <t xml:space="preserve">I039</t>
  </si>
  <si>
    <t xml:space="preserve">Pouākani (Land Block)</t>
  </si>
  <si>
    <t xml:space="preserve">https://www.tkm.govt.nz/iwi/pouakani/</t>
  </si>
  <si>
    <t xml:space="preserve">I040</t>
  </si>
  <si>
    <t xml:space="preserve">Maraeroa A &amp; B (Land Block)</t>
  </si>
  <si>
    <t xml:space="preserve">https://www.tkm.govt.nz/iwi/maraeroa/</t>
  </si>
  <si>
    <t xml:space="preserve">I041</t>
  </si>
  <si>
    <t xml:space="preserve">Ngāti Pūkenga</t>
  </si>
  <si>
    <t xml:space="preserve">https://www.tkm.govt.nz/iwi/ngati-pukenga/</t>
  </si>
  <si>
    <t xml:space="preserve">I042</t>
  </si>
  <si>
    <t xml:space="preserve">Ngāi Te Rangi</t>
  </si>
  <si>
    <t xml:space="preserve">https://www.tkm.govt.nz/iwi/ngai-te-rangi/</t>
  </si>
  <si>
    <t xml:space="preserve">I043</t>
  </si>
  <si>
    <t xml:space="preserve">Ngāti Ranginui</t>
  </si>
  <si>
    <t xml:space="preserve">https://www.tkm.govt.nz/iwi/ngati-ranginui/</t>
  </si>
  <si>
    <t xml:space="preserve">I044</t>
  </si>
  <si>
    <t xml:space="preserve">Ngā Pōtiki</t>
  </si>
  <si>
    <t xml:space="preserve">https://www.tkm.govt.nz/iwi/nga-potiki/</t>
  </si>
  <si>
    <t xml:space="preserve">I045</t>
  </si>
  <si>
    <t xml:space="preserve">Ngāti Tūwharetoa (Bay of Plenty)</t>
  </si>
  <si>
    <t xml:space="preserve">https://www.tkm.govt.nz/iwi/ngati-tuwharetoa-bay-of-plenty/</t>
  </si>
  <si>
    <t xml:space="preserve">I046</t>
  </si>
  <si>
    <t xml:space="preserve">Ngāti Mākino</t>
  </si>
  <si>
    <t xml:space="preserve">https://www.tkm.govt.nz/iwi/ngati-makino/</t>
  </si>
  <si>
    <t xml:space="preserve">I047</t>
  </si>
  <si>
    <t xml:space="preserve">Ngāti Pikiao</t>
  </si>
  <si>
    <t xml:space="preserve">https://www.tkm.govt.nz/iwi/ngati-pikiao/</t>
  </si>
  <si>
    <t xml:space="preserve">I048</t>
  </si>
  <si>
    <t xml:space="preserve">Ngāti Whakahemo</t>
  </si>
  <si>
    <t xml:space="preserve">https://www.tkm.govt.nz/iwi/ngati-whakahemo/</t>
  </si>
  <si>
    <t xml:space="preserve">I049</t>
  </si>
  <si>
    <t xml:space="preserve">Waitaha</t>
  </si>
  <si>
    <t xml:space="preserve">https://www.tkm.govt.nz/iwi/waitaha/</t>
  </si>
  <si>
    <t xml:space="preserve">I050</t>
  </si>
  <si>
    <t xml:space="preserve">Tapuika</t>
  </si>
  <si>
    <t xml:space="preserve">https://www.tkm.govt.nz/iwi/tapuika/</t>
  </si>
  <si>
    <t xml:space="preserve">I051</t>
  </si>
  <si>
    <t xml:space="preserve">Ngāti Rangiwewehi</t>
  </si>
  <si>
    <t xml:space="preserve">https://www.tkm.govt.nz/iwi/ngati-rangiwewehi/</t>
  </si>
  <si>
    <t xml:space="preserve">I052</t>
  </si>
  <si>
    <t xml:space="preserve">Ngāti Rangiteaorere</t>
  </si>
  <si>
    <t xml:space="preserve">https://www.tkm.govt.nz/iwi/ngati-rangiteaorere/</t>
  </si>
  <si>
    <t xml:space="preserve">I053</t>
  </si>
  <si>
    <t xml:space="preserve">Ngāti Rangitihi</t>
  </si>
  <si>
    <t xml:space="preserve">https://www.tkm.govt.nz/iwi/ngati-rangitihi/</t>
  </si>
  <si>
    <t xml:space="preserve">I054</t>
  </si>
  <si>
    <t xml:space="preserve">Ngāti Tarāwhai</t>
  </si>
  <si>
    <t xml:space="preserve">https://www.tkm.govt.nz/iwi/ngati-tarawhai/</t>
  </si>
  <si>
    <t xml:space="preserve">I055</t>
  </si>
  <si>
    <t xml:space="preserve">Ngāti Rongomai</t>
  </si>
  <si>
    <t xml:space="preserve">https://www.tkm.govt.nz/iwi/ngati-rongomai/</t>
  </si>
  <si>
    <t xml:space="preserve">I056</t>
  </si>
  <si>
    <t xml:space="preserve">Ngāti Whakaue</t>
  </si>
  <si>
    <t xml:space="preserve">https://www.tkm.govt.nz/iwi/ngati-whakaue/</t>
  </si>
  <si>
    <t xml:space="preserve">I057</t>
  </si>
  <si>
    <t xml:space="preserve">Ngāti Uenukukōpako</t>
  </si>
  <si>
    <t xml:space="preserve">https://www.tkm.govt.nz/iwi/ngati-uenukukopako/</t>
  </si>
  <si>
    <t xml:space="preserve">I058</t>
  </si>
  <si>
    <t xml:space="preserve">Tūhourangi</t>
  </si>
  <si>
    <t xml:space="preserve">https://www.tkm.govt.nz/iwi/tuhourangi/</t>
  </si>
  <si>
    <t xml:space="preserve">I059</t>
  </si>
  <si>
    <t xml:space="preserve">Ngāti Kea / Ngāti Tuarā</t>
  </si>
  <si>
    <t xml:space="preserve">https://www.tkm.govt.nz/iwi/ngati-kea-ngati-tuara/</t>
  </si>
  <si>
    <t xml:space="preserve">I060</t>
  </si>
  <si>
    <t xml:space="preserve">Ngāti Tahu / Ngāti Whaoa</t>
  </si>
  <si>
    <t xml:space="preserve">https://www.tkm.govt.nz/iwi/ngati-tahu-ngati-whaoa/</t>
  </si>
  <si>
    <t xml:space="preserve">I061</t>
  </si>
  <si>
    <t xml:space="preserve">Ngāti Tūwharetoa</t>
  </si>
  <si>
    <t xml:space="preserve">https://www.tkm.govt.nz/iwi/ngati-tuwharetoa/</t>
  </si>
  <si>
    <t xml:space="preserve">I062</t>
  </si>
  <si>
    <t xml:space="preserve">Ngāti Tūrangitukua</t>
  </si>
  <si>
    <t xml:space="preserve">https://www.tkm.govt.nz/iwi/ngati-turangitukua/</t>
  </si>
  <si>
    <t xml:space="preserve">I063</t>
  </si>
  <si>
    <t xml:space="preserve">Ngāti Awa</t>
  </si>
  <si>
    <t xml:space="preserve">https://www.tkm.govt.nz/iwi/ngati-awa/</t>
  </si>
  <si>
    <t xml:space="preserve">I064</t>
  </si>
  <si>
    <t xml:space="preserve">Ngāti Manawa</t>
  </si>
  <si>
    <t xml:space="preserve">https://www.tkm.govt.nz/iwi/ngati-manawa/</t>
  </si>
  <si>
    <t xml:space="preserve">I065</t>
  </si>
  <si>
    <t xml:space="preserve">Ngāti Whare</t>
  </si>
  <si>
    <t xml:space="preserve">https://www.tkm.govt.nz/iwi/ngati-whare/</t>
  </si>
  <si>
    <t xml:space="preserve">I066</t>
  </si>
  <si>
    <t xml:space="preserve">Ngāitai (Bay of Plenty)</t>
  </si>
  <si>
    <t xml:space="preserve">https://www.tkm.govt.nz/iwi/ngaitai-bay-of-plenty/</t>
  </si>
  <si>
    <t xml:space="preserve">I067</t>
  </si>
  <si>
    <t xml:space="preserve">Whakatōhea</t>
  </si>
  <si>
    <t xml:space="preserve">https://www.tkm.govt.nz/iwi/whakatohea/</t>
  </si>
  <si>
    <t xml:space="preserve">I068</t>
  </si>
  <si>
    <t xml:space="preserve">Te Whānau a Apanui</t>
  </si>
  <si>
    <t xml:space="preserve">https://www.tkm.govt.nz/iwi/te-whanau-a-apanui/</t>
  </si>
  <si>
    <t xml:space="preserve">I069</t>
  </si>
  <si>
    <t xml:space="preserve">Tūhoe</t>
  </si>
  <si>
    <t xml:space="preserve">https://www.tkm.govt.nz/iwi/tuhoe/</t>
  </si>
  <si>
    <t xml:space="preserve">I070</t>
  </si>
  <si>
    <t xml:space="preserve">Ngāti Ruapani ki Waikaremoana</t>
  </si>
  <si>
    <t xml:space="preserve">https://www.tkm.govt.nz/iwi/ngati-ruapani-ki-waikaremoana/</t>
  </si>
  <si>
    <t xml:space="preserve">I071</t>
  </si>
  <si>
    <t xml:space="preserve">Ngāti Porou</t>
  </si>
  <si>
    <t xml:space="preserve">https://www.tkm.govt.nz/iwi/ngati-porou/</t>
  </si>
  <si>
    <t xml:space="preserve">I072</t>
  </si>
  <si>
    <t xml:space="preserve">Te Aitanga ā Māhaki</t>
  </si>
  <si>
    <t xml:space="preserve">https://www.tkm.govt.nz/iwi/te-aitanga-a-mahaki/</t>
  </si>
  <si>
    <t xml:space="preserve">I073</t>
  </si>
  <si>
    <t xml:space="preserve">Rongowhakaata</t>
  </si>
  <si>
    <t xml:space="preserve">https://www.tkm.govt.nz/iwi/rongowhakaata/</t>
  </si>
  <si>
    <t xml:space="preserve">I074</t>
  </si>
  <si>
    <t xml:space="preserve">Ngāi Tāmanuhiri</t>
  </si>
  <si>
    <t xml:space="preserve">https://www.tkm.govt.nz/iwi/ngai-tamanuhiri/</t>
  </si>
  <si>
    <t xml:space="preserve">I075</t>
  </si>
  <si>
    <t xml:space="preserve">Ngāti Kahungunu</t>
  </si>
  <si>
    <t xml:space="preserve">https://www.tkm.govt.nz/iwi/ngati-kahungunu/</t>
  </si>
  <si>
    <t xml:space="preserve">I076</t>
  </si>
  <si>
    <t xml:space="preserve">Te Wairoa Iwi and Hapū</t>
  </si>
  <si>
    <t xml:space="preserve">https://www.tkm.govt.nz/iwi/te-wairoa/</t>
  </si>
  <si>
    <t xml:space="preserve">I077</t>
  </si>
  <si>
    <t xml:space="preserve">Ngāti Pāhauwera</t>
  </si>
  <si>
    <t xml:space="preserve">https://www.tkm.govt.nz/iwi/ngati-pahauwera/</t>
  </si>
  <si>
    <t xml:space="preserve">I078</t>
  </si>
  <si>
    <t xml:space="preserve">Ngāti Hineuru</t>
  </si>
  <si>
    <t xml:space="preserve">https://www.tkm.govt.nz/iwi/ngati-hineuru/</t>
  </si>
  <si>
    <t xml:space="preserve">I079</t>
  </si>
  <si>
    <t xml:space="preserve">Maungaharuru-Tangitū Hapū</t>
  </si>
  <si>
    <t xml:space="preserve">https://www.tkm.govt.nz/iwi/maungaharuru-tangitu-hapu/</t>
  </si>
  <si>
    <t xml:space="preserve">I080</t>
  </si>
  <si>
    <t xml:space="preserve">Ahuriri Hapū</t>
  </si>
  <si>
    <t xml:space="preserve">https://www.tkm.govt.nz/iwi/ahuriri-hapu/</t>
  </si>
  <si>
    <t xml:space="preserve">I081</t>
  </si>
  <si>
    <t xml:space="preserve">Heretaunga Tamatea</t>
  </si>
  <si>
    <t xml:space="preserve">https://www.tkm.govt.nz/iwi/heretaunga-tamatea/</t>
  </si>
  <si>
    <t xml:space="preserve">I082</t>
  </si>
  <si>
    <t xml:space="preserve">Ngāti Kahungunu ki Wairarapa - Tāmaki nui-ā-Rua</t>
  </si>
  <si>
    <t xml:space="preserve">https://www.tkm.govt.nz/iwi/ngati-kahungunu-ki-wairarapa-tamaki-nui-a-rua/</t>
  </si>
  <si>
    <t xml:space="preserve">I083</t>
  </si>
  <si>
    <t xml:space="preserve">Rangitāne</t>
  </si>
  <si>
    <t xml:space="preserve">https://www.tkm.govt.nz/iwi/rangitane/</t>
  </si>
  <si>
    <t xml:space="preserve">I084</t>
  </si>
  <si>
    <t xml:space="preserve">Ngāti Tama</t>
  </si>
  <si>
    <t xml:space="preserve">https://www.tkm.govt.nz/iwi/ngati-tama/</t>
  </si>
  <si>
    <t xml:space="preserve">I085</t>
  </si>
  <si>
    <t xml:space="preserve">Ngāti Mutunga</t>
  </si>
  <si>
    <t xml:space="preserve">https://www.tkm.govt.nz/iwi/ngati-mutunga/</t>
  </si>
  <si>
    <t xml:space="preserve">I086</t>
  </si>
  <si>
    <t xml:space="preserve">Te Ātiawa (Taranaki)</t>
  </si>
  <si>
    <t xml:space="preserve">https://www.tkm.govt.nz/iwi/te-atiawa-taranaki/</t>
  </si>
  <si>
    <t xml:space="preserve">I087</t>
  </si>
  <si>
    <t xml:space="preserve">Taranaki Iwi</t>
  </si>
  <si>
    <t xml:space="preserve">https://www.tkm.govt.nz/iwi/taranaki/</t>
  </si>
  <si>
    <t xml:space="preserve">I088</t>
  </si>
  <si>
    <t xml:space="preserve">Ngāti Maru (Te Iwi o Maruwharanui)</t>
  </si>
  <si>
    <t xml:space="preserve">https://www.tkm.govt.nz/iwi/ngati-maru-taranaki/</t>
  </si>
  <si>
    <t xml:space="preserve">I089</t>
  </si>
  <si>
    <t xml:space="preserve">Ngāruahine</t>
  </si>
  <si>
    <t xml:space="preserve">https://www.tkm.govt.nz/iwi/ngaruahine/</t>
  </si>
  <si>
    <t xml:space="preserve">I090</t>
  </si>
  <si>
    <t xml:space="preserve">Ngāti Ruanui</t>
  </si>
  <si>
    <t xml:space="preserve">https://www.tkm.govt.nz/iwi/ngati-ruanui/</t>
  </si>
  <si>
    <t xml:space="preserve">I091</t>
  </si>
  <si>
    <t xml:space="preserve">Ngā Rauru Kītahi</t>
  </si>
  <si>
    <t xml:space="preserve">https://www.tkm.govt.nz/iwi/nga-rauru-kitahi/</t>
  </si>
  <si>
    <t xml:space="preserve">I092</t>
  </si>
  <si>
    <t xml:space="preserve">Whanganui Iwi / Te Atihaunui a Pāpārangi</t>
  </si>
  <si>
    <t xml:space="preserve">https://www.tkm.govt.nz/iwi/whanganui-iwi-te-atihaunui-a-paparangi/</t>
  </si>
  <si>
    <t xml:space="preserve">I093</t>
  </si>
  <si>
    <t xml:space="preserve">Ngāti Hāua (Upper Whanganui)</t>
  </si>
  <si>
    <t xml:space="preserve">https://www.tkm.govt.nz/iwi/ngati-haua-upper-whanganui/</t>
  </si>
  <si>
    <t xml:space="preserve">I094</t>
  </si>
  <si>
    <t xml:space="preserve">Te Korowai o Wainuiārua (Central Whanganui)</t>
  </si>
  <si>
    <t xml:space="preserve">https://www.tkm.govt.nz/iwi/te-korowai-o-wainuiarua/</t>
  </si>
  <si>
    <t xml:space="preserve">I095</t>
  </si>
  <si>
    <t xml:space="preserve">Whanganui Land Settlement (Lower Whanganui)</t>
  </si>
  <si>
    <t xml:space="preserve">https://www.tkm.govt.nz/iwi/whanganui-land-settlement-lower-whanganui/</t>
  </si>
  <si>
    <t xml:space="preserve">I096</t>
  </si>
  <si>
    <t xml:space="preserve">Ngāti Rangi</t>
  </si>
  <si>
    <t xml:space="preserve">https://www.tkm.govt.nz/iwi/ngati-rangi/</t>
  </si>
  <si>
    <t xml:space="preserve">I097</t>
  </si>
  <si>
    <t xml:space="preserve">Ngāti Tamakōpiri</t>
  </si>
  <si>
    <t xml:space="preserve">https://www.tkm.govt.nz/iwi/ngati-tamakopiri/</t>
  </si>
  <si>
    <t xml:space="preserve">I098</t>
  </si>
  <si>
    <t xml:space="preserve">Ngāti Whitikaupeka</t>
  </si>
  <si>
    <t xml:space="preserve">https://www.tkm.govt.nz/iwi/ngati-whitikaupeka/</t>
  </si>
  <si>
    <t xml:space="preserve">I099</t>
  </si>
  <si>
    <t xml:space="preserve">Ngāi Te Ohuake</t>
  </si>
  <si>
    <t xml:space="preserve">https://www.tkm.govt.nz/iwi/ngai-te-ohuake/</t>
  </si>
  <si>
    <t xml:space="preserve">I100</t>
  </si>
  <si>
    <t xml:space="preserve">Ngāti Hauiti</t>
  </si>
  <si>
    <t xml:space="preserve">https://www.tkm.govt.nz/iwi/ngati-hauiti/</t>
  </si>
  <si>
    <t xml:space="preserve">I101</t>
  </si>
  <si>
    <t xml:space="preserve">Ngā Wairiki Ngāti Apa</t>
  </si>
  <si>
    <t xml:space="preserve">https://www.tkm.govt.nz/iwi/ngati-apa/</t>
  </si>
  <si>
    <t xml:space="preserve">I102</t>
  </si>
  <si>
    <t xml:space="preserve">Muaūpoko</t>
  </si>
  <si>
    <t xml:space="preserve">https://www.tkm.govt.nz/iwi/muaupoko/</t>
  </si>
  <si>
    <t xml:space="preserve">I103</t>
  </si>
  <si>
    <t xml:space="preserve">Ngāti Raukawa ki te Tonga</t>
  </si>
  <si>
    <t xml:space="preserve">https://www.tkm.govt.nz/iwi/ngati-raukawa-ki-te-tonga/</t>
  </si>
  <si>
    <t xml:space="preserve">I104</t>
  </si>
  <si>
    <t xml:space="preserve">Ngāti Toa Rangatira</t>
  </si>
  <si>
    <t xml:space="preserve">https://www.tkm.govt.nz/iwi/ngati-toa-rangatira/</t>
  </si>
  <si>
    <t xml:space="preserve">I105</t>
  </si>
  <si>
    <t xml:space="preserve">Te Ātiawa ki Whakarongotai</t>
  </si>
  <si>
    <t xml:space="preserve">https://www.tkm.govt.nz/iwi/te-atiawa-ki-whakarongotai/</t>
  </si>
  <si>
    <t xml:space="preserve">I106</t>
  </si>
  <si>
    <t xml:space="preserve">Te Ātiawa (Wellington)</t>
  </si>
  <si>
    <t xml:space="preserve">https://www.tkm.govt.nz/iwi/te-atiawa-wellington/</t>
  </si>
  <si>
    <t xml:space="preserve">I107</t>
  </si>
  <si>
    <t xml:space="preserve">Taranaki Whānui ki Te Upoko o Te Ika</t>
  </si>
  <si>
    <t xml:space="preserve">https://www.tkm.govt.nz/iwi/taranaki-whanui-ki-te-upoko-o-te-ika/</t>
  </si>
  <si>
    <t xml:space="preserve">I108</t>
  </si>
  <si>
    <t xml:space="preserve">Te Ātiawa o Te Waka-a-Māui</t>
  </si>
  <si>
    <t xml:space="preserve">https://www.tkm.govt.nz/iwi/te-atiawa-te-tau-ihu/</t>
  </si>
  <si>
    <t xml:space="preserve">I109</t>
  </si>
  <si>
    <t xml:space="preserve">Ngāti Apa ki te Rā Tō</t>
  </si>
  <si>
    <t xml:space="preserve">https://www.tkm.govt.nz/iwi/ngati-apa-ki-te-ra-to/</t>
  </si>
  <si>
    <t xml:space="preserve">I110</t>
  </si>
  <si>
    <t xml:space="preserve">Rangitāne o Wairau</t>
  </si>
  <si>
    <t xml:space="preserve">https://www.tkm.govt.nz/iwi/rangitane-o-wairau/</t>
  </si>
  <si>
    <t xml:space="preserve">I111</t>
  </si>
  <si>
    <t xml:space="preserve">Ngāti Kuia</t>
  </si>
  <si>
    <t xml:space="preserve">https://www.tkm.govt.nz/iwi/ngati-kuia/</t>
  </si>
  <si>
    <t xml:space="preserve">I112</t>
  </si>
  <si>
    <t xml:space="preserve">Ngāti Rārua</t>
  </si>
  <si>
    <t xml:space="preserve">https://www.tkm.govt.nz/iwi/ngati-rarua/</t>
  </si>
  <si>
    <t xml:space="preserve">I113</t>
  </si>
  <si>
    <t xml:space="preserve">Ngāti Kōata</t>
  </si>
  <si>
    <t xml:space="preserve">https://www.tkm.govt.nz/iwi/ngati-koata/</t>
  </si>
  <si>
    <t xml:space="preserve">I114</t>
  </si>
  <si>
    <t xml:space="preserve">Ngāti Tama ki Te Tau Ihu</t>
  </si>
  <si>
    <t xml:space="preserve">https://www.tkm.govt.nz/iwi/ngati-tama-ki-te-tau-ihu/</t>
  </si>
  <si>
    <t xml:space="preserve">I115</t>
  </si>
  <si>
    <t xml:space="preserve">Ngāi Tahu</t>
  </si>
  <si>
    <t xml:space="preserve">https://www.tkm.govt.nz/iwi/ngai-tahu/</t>
  </si>
  <si>
    <t xml:space="preserve">I116</t>
  </si>
  <si>
    <t xml:space="preserve">Ngāti Mutunga o Wharekauri</t>
  </si>
  <si>
    <t xml:space="preserve">https://www.tkm.govt.nz/iwi/ngati-mutunga-o-wharekauri/</t>
  </si>
  <si>
    <t xml:space="preserve">I117</t>
  </si>
  <si>
    <t xml:space="preserve">Moriori</t>
  </si>
  <si>
    <t xml:space="preserve">https://www.tkm.govt.nz/iwi/moriori/</t>
  </si>
  <si>
    <t xml:space="preserve">authority_type</t>
  </si>
  <si>
    <t xml:space="preserve">authority_name</t>
  </si>
  <si>
    <t xml:space="preserve">Regional Council</t>
  </si>
  <si>
    <t xml:space="preserve">Northland Regional Council</t>
  </si>
  <si>
    <t xml:space="preserve">Auckland Council</t>
  </si>
  <si>
    <t xml:space="preserve">Territorial Authority</t>
  </si>
  <si>
    <t xml:space="preserve">Whangārei District Council</t>
  </si>
  <si>
    <t xml:space="preserve">hapu_id</t>
  </si>
  <si>
    <t xml:space="preserve">hapu_name</t>
  </si>
  <si>
    <t xml:space="preserve">H001</t>
  </si>
  <si>
    <t xml:space="preserve">Ngāti Kororā</t>
  </si>
  <si>
    <t xml:space="preserve">H002</t>
  </si>
  <si>
    <t xml:space="preserve">H003</t>
  </si>
  <si>
    <t xml:space="preserve">Ngāti Rēhua</t>
  </si>
  <si>
    <t xml:space="preserve">H004</t>
  </si>
  <si>
    <t xml:space="preserve">Ngāti Takapari</t>
  </si>
  <si>
    <t xml:space="preserve">H005</t>
  </si>
  <si>
    <t xml:space="preserve">Ngāti Toki ki Te Moananui</t>
  </si>
  <si>
    <t xml:space="preserve">H006</t>
  </si>
  <si>
    <t xml:space="preserve">Te Āki Tai</t>
  </si>
  <si>
    <t xml:space="preserve">H007</t>
  </si>
  <si>
    <t xml:space="preserve">Te Patuharakeke</t>
  </si>
  <si>
    <t xml:space="preserve">H008</t>
  </si>
  <si>
    <t xml:space="preserve">Te Uri o Hikihiki</t>
  </si>
  <si>
    <t xml:space="preserve">H009</t>
  </si>
  <si>
    <t xml:space="preserve">Te Whānau a Rangiwhaakahu</t>
  </si>
  <si>
    <t xml:space="preserve">H010</t>
  </si>
  <si>
    <t xml:space="preserve">Te Whānau Whero</t>
  </si>
  <si>
    <t xml:space="preserve">marae_id</t>
  </si>
  <si>
    <t xml:space="preserve">marae_name</t>
  </si>
  <si>
    <t xml:space="preserve">wharenui</t>
  </si>
  <si>
    <t xml:space="preserve">marae_type</t>
  </si>
  <si>
    <t xml:space="preserve">address_line</t>
  </si>
  <si>
    <t xml:space="preserve">locality</t>
  </si>
  <si>
    <t xml:space="preserve">postcode</t>
  </si>
  <si>
    <t xml:space="preserve">region_council_area</t>
  </si>
  <si>
    <t xml:space="preserve">latitude</t>
  </si>
  <si>
    <t xml:space="preserve">longitude</t>
  </si>
  <si>
    <t xml:space="preserve">nztm_easting</t>
  </si>
  <si>
    <t xml:space="preserve">nztm_northing</t>
  </si>
  <si>
    <t xml:space="preserve">geocode_source</t>
  </si>
  <si>
    <t xml:space="preserve">geocode_accuracy</t>
  </si>
  <si>
    <t xml:space="preserve">M0001</t>
  </si>
  <si>
    <t xml:space="preserve">Pātaua</t>
  </si>
  <si>
    <t xml:space="preserve">*No wharenui*</t>
  </si>
  <si>
    <t xml:space="preserve">Iwi marae</t>
  </si>
  <si>
    <t xml:space="preserve">Northland</t>
  </si>
  <si>
    <t xml:space="preserve">M0002</t>
  </si>
  <si>
    <t xml:space="preserve">Ōmaha</t>
  </si>
  <si>
    <t xml:space="preserve">Te Kiri</t>
  </si>
  <si>
    <t xml:space="preserve">Ōmaha Block Access Road</t>
  </si>
  <si>
    <t xml:space="preserve">Leigh</t>
  </si>
  <si>
    <t xml:space="preserve">Auckland</t>
  </si>
  <si>
    <t xml:space="preserve">M0003</t>
  </si>
  <si>
    <t xml:space="preserve">Kawa</t>
  </si>
  <si>
    <t xml:space="preserve">Rehua</t>
  </si>
  <si>
    <t xml:space="preserve">Kawa Road, Kawa Bay</t>
  </si>
  <si>
    <t xml:space="preserve">Aotea / Great Barrier Island</t>
  </si>
  <si>
    <t xml:space="preserve">M0004</t>
  </si>
  <si>
    <t xml:space="preserve">Motairehe</t>
  </si>
  <si>
    <t xml:space="preserve">Whakaruruhau</t>
  </si>
  <si>
    <t xml:space="preserve">Motairehe Road</t>
  </si>
  <si>
    <t xml:space="preserve">M0005</t>
  </si>
  <si>
    <t xml:space="preserve">Ngunguru</t>
  </si>
  <si>
    <t xml:space="preserve">Paratene te Manu</t>
  </si>
  <si>
    <t xml:space="preserve">60 Waiotoi Road</t>
  </si>
  <si>
    <t xml:space="preserve">M0006</t>
  </si>
  <si>
    <t xml:space="preserve">Matapōuri</t>
  </si>
  <si>
    <t xml:space="preserve">Te Tokomanawa o te Aroha</t>
  </si>
  <si>
    <t xml:space="preserve">7 Mackie Place</t>
  </si>
  <si>
    <t xml:space="preserve">Matapōuri Bay</t>
  </si>
  <si>
    <t xml:space="preserve">M0007</t>
  </si>
  <si>
    <t xml:space="preserve">Whananāki</t>
  </si>
  <si>
    <t xml:space="preserve">Whakapaumahara</t>
  </si>
  <si>
    <t xml:space="preserve">1836 Whananaki North Road</t>
  </si>
  <si>
    <t xml:space="preserve">Whananaki</t>
  </si>
  <si>
    <t xml:space="preserve">M0008</t>
  </si>
  <si>
    <t xml:space="preserve">Takahiwai</t>
  </si>
  <si>
    <t xml:space="preserve">Rangiora</t>
  </si>
  <si>
    <t xml:space="preserve">229 Takahiwai Road</t>
  </si>
  <si>
    <t xml:space="preserve">M0009</t>
  </si>
  <si>
    <t xml:space="preserve">Mōkau</t>
  </si>
  <si>
    <t xml:space="preserve">Huruiki</t>
  </si>
  <si>
    <t xml:space="preserve">2355 Russell Road</t>
  </si>
  <si>
    <t xml:space="preserve">M0010</t>
  </si>
  <si>
    <t xml:space="preserve">Ngāti Wai Soldiers' Memorial</t>
  </si>
  <si>
    <t xml:space="preserve">1561 Rawhiti Road</t>
  </si>
  <si>
    <t xml:space="preserve">Ngāiotonga</t>
  </si>
  <si>
    <t xml:space="preserve">M0011</t>
  </si>
  <si>
    <t xml:space="preserve">Ōākura</t>
  </si>
  <si>
    <t xml:space="preserve">*Building in progress*</t>
  </si>
  <si>
    <t xml:space="preserve">2513 Russell Road</t>
  </si>
  <si>
    <t xml:space="preserve">Ōākura, Whangaruru</t>
  </si>
  <si>
    <t xml:space="preserve">M0012</t>
  </si>
  <si>
    <t xml:space="preserve">Ōtetao Reti (Ōtetao)</t>
  </si>
  <si>
    <t xml:space="preserve">Hoori Reti</t>
  </si>
  <si>
    <t xml:space="preserve">2809 Russell Road</t>
  </si>
  <si>
    <t xml:space="preserve">Punaruku</t>
  </si>
  <si>
    <t xml:space="preserve">M0013</t>
  </si>
  <si>
    <t xml:space="preserve">Old Russell Road</t>
  </si>
  <si>
    <t xml:space="preserve">M0014</t>
  </si>
  <si>
    <t xml:space="preserve">Tuparehuia</t>
  </si>
  <si>
    <t xml:space="preserve">Whangaruru North Road</t>
  </si>
  <si>
    <t xml:space="preserve">Whangaruru</t>
  </si>
  <si>
    <t xml:space="preserve">org_id</t>
  </si>
  <si>
    <t xml:space="preserve">org_name</t>
  </si>
  <si>
    <t xml:space="preserve">org_role</t>
  </si>
  <si>
    <t xml:space="preserve">legal_entity</t>
  </si>
  <si>
    <t xml:space="preserve">governance_structure</t>
  </si>
  <si>
    <t xml:space="preserve">flag_treaty_mandate</t>
  </si>
  <si>
    <t xml:space="preserve">flag_psge</t>
  </si>
  <si>
    <t xml:space="preserve">flag_mfa_mandated</t>
  </si>
  <si>
    <t xml:space="preserve">flag_mfa_recognised</t>
  </si>
  <si>
    <t xml:space="preserve">flag_iao</t>
  </si>
  <si>
    <t xml:space="preserve">flag_rma_iwi_authority</t>
  </si>
  <si>
    <t xml:space="preserve">flag_tuhono</t>
  </si>
  <si>
    <t xml:space="preserve">settlement_act</t>
  </si>
  <si>
    <t xml:space="preserve">postal_address</t>
  </si>
  <si>
    <t xml:space="preserve">physical_address</t>
  </si>
  <si>
    <t xml:space="preserve">phone</t>
  </si>
  <si>
    <t xml:space="preserve">email</t>
  </si>
  <si>
    <t xml:space="preserve">website</t>
  </si>
  <si>
    <t xml:space="preserve">O001</t>
  </si>
  <si>
    <t xml:space="preserve">Iwi Representative Organisation</t>
  </si>
  <si>
    <t xml:space="preserve">Charitable Trust</t>
  </si>
  <si>
    <t xml:space="preserve">One trustee from each of 13 marae. Factions of the iwi/hapū Te Waiariki/Ngāti Korora, Te Waiariki/Ngāti Taka and Te Waiariki/Ngunguru have chosen to affiliate to the Ngātiwai Trust.</t>
  </si>
  <si>
    <t xml:space="preserve">Y</t>
  </si>
  <si>
    <t xml:space="preserve">N</t>
  </si>
  <si>
    <t xml:space="preserve">PO Box 1332, Whangārei 0140</t>
  </si>
  <si>
    <t xml:space="preserve">129 Port Road, Whangārei</t>
  </si>
  <si>
    <t xml:space="preserve">09 430 0939</t>
  </si>
  <si>
    <t xml:space="preserve">ngatiwai@ngatiwai.iwi.nz</t>
  </si>
  <si>
    <t xml:space="preserve">https://www.ngatiwai.iwi.nz</t>
  </si>
  <si>
    <t xml:space="preserve">contact_id</t>
  </si>
  <si>
    <t xml:space="preserve">role</t>
  </si>
  <si>
    <t xml:space="preserve">full_name</t>
  </si>
  <si>
    <t xml:space="preserve">C001</t>
  </si>
  <si>
    <t xml:space="preserve">Chair</t>
  </si>
  <si>
    <t xml:space="preserve">Aperahama Edwards</t>
  </si>
  <si>
    <t xml:space="preserve">C002</t>
  </si>
  <si>
    <t xml:space="preserve">CEO</t>
  </si>
  <si>
    <t xml:space="preserve">Simon Mitchell</t>
  </si>
  <si>
    <t xml:space="preserve">C003</t>
  </si>
  <si>
    <t xml:space="preserve">RMA Contact</t>
  </si>
  <si>
    <t xml:space="preserve">Not published for Ngātiwai; some iwi list a dedicated RMA contact with phone/email (e.g. Taranaki Iwi).</t>
  </si>
  <si>
    <t xml:space="preserve">address</t>
  </si>
  <si>
    <t xml:space="preserve">hapu_names</t>
  </si>
  <si>
    <t xml:space="preserve">region</t>
  </si>
  <si>
    <t xml:space="preserve">rep_org</t>
  </si>
  <si>
    <t xml:space="preserve">org_phone</t>
  </si>
  <si>
    <t xml:space="preserve">org_email</t>
  </si>
  <si>
    <t xml:space="preserve">org_website</t>
  </si>
  <si>
    <t xml:space="preserve">chair</t>
  </si>
  <si>
    <t xml:space="preserve">popup_html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</si>
</sst>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ontact" displayName="Contact" ref="A1:G4" headerRowCount="1" totalsRowCount="0" totalsRowShown="0">
  <autoFilter ref="A1:G4"/>
  <tableColumns count="7">
    <tableColumn id="1" name="contact_id"/>
    <tableColumn id="2" name="org_id"/>
    <tableColumn id="3" name="role"/>
    <tableColumn id="4" name="full_name"/>
    <tableColumn id="5" name="phone"/>
    <tableColumn id="6" name="email"/>
    <tableColumn id="7" name="notes"/>
  </tableColumns>
</table>
</file>

<file path=xl/tables/table2.xml><?xml version="1.0" encoding="utf-8"?>
<table xmlns="http://schemas.openxmlformats.org/spreadsheetml/2006/main" id="2" name="Hapu" displayName="Hapu" ref="A1:D11" headerRowCount="1" totalsRowCount="0" totalsRowShown="0">
  <autoFilter ref="A1:D11"/>
  <tableColumns count="4">
    <tableColumn id="1" name="hapu_id"/>
    <tableColumn id="2" name="hapu_name"/>
    <tableColumn id="3" name="iwi_id"/>
    <tableColumn id="4" name="notes"/>
  </tableColumns>
</table>
</file>

<file path=xl/tables/table3.xml><?xml version="1.0" encoding="utf-8"?>
<table xmlns="http://schemas.openxmlformats.org/spreadsheetml/2006/main" id="3" name="Iwi" displayName="Iwi" ref="A1:M118" headerRowCount="1" totalsRowCount="0" totalsRowShown="0">
  <autoFilter ref="A1:M118"/>
  <tableColumns count="13">
    <tableColumn id="1" name="iwi_id"/>
    <tableColumn id="2" name="iwi_name"/>
    <tableColumn id="3" name="primary_region_id"/>
    <tableColumn id="4" name="tkm_url"/>
    <tableColumn id="5" name="mfa_status"/>
    <tableColumn id="6" name="population"/>
    <tableColumn id="7" name="population_source"/>
    <tableColumn id="8" name="rohe_description"/>
    <tableColumn id="9" name="rohe_map_image_url"/>
    <tableColumn id="10" name="rohe_document_url"/>
    <tableColumn id="11" name="rohe_copyright_holder"/>
    <tableColumn id="12" name="tkm_last_updated"/>
    <tableColumn id="13" name="notes"/>
  </tableColumns>
</table>
</file>

<file path=xl/tables/table4.xml><?xml version="1.0" encoding="utf-8"?>
<table xmlns="http://schemas.openxmlformats.org/spreadsheetml/2006/main" id="4" name="Iwi_LocalAuthority" displayName="Iwi_LocalAuthority" ref="A1:C5" headerRowCount="1" totalsRowCount="0" totalsRowShown="0">
  <autoFilter ref="A1:C5"/>
  <tableColumns count="3">
    <tableColumn id="1" name="iwi_id"/>
    <tableColumn id="2" name="authority_type"/>
    <tableColumn id="3" name="authority_name"/>
  </tableColumns>
</table>
</file>

<file path=xl/tables/table5.xml><?xml version="1.0" encoding="utf-8"?>
<table xmlns="http://schemas.openxmlformats.org/spreadsheetml/2006/main" id="5" name="Iwi_Region" displayName="Iwi_Region" ref="A1:B128" headerRowCount="1" totalsRowCount="0" totalsRowShown="0">
  <autoFilter ref="A1:B128"/>
  <tableColumns count="2">
    <tableColumn id="1" name="iwi_id"/>
    <tableColumn id="2" name="region_id"/>
  </tableColumns>
</table>
</file>

<file path=xl/tables/table6.xml><?xml version="1.0" encoding="utf-8"?>
<table xmlns="http://schemas.openxmlformats.org/spreadsheetml/2006/main" id="6" name="Marae" displayName="Marae" ref="A1:P15" headerRowCount="1" totalsRowCount="0" totalsRowShown="0">
  <autoFilter ref="A1:P15"/>
  <tableColumns count="16">
    <tableColumn id="1" name="marae_id"/>
    <tableColumn id="2" name="marae_name"/>
    <tableColumn id="3" name="wharenui"/>
    <tableColumn id="4" name="marae_type"/>
    <tableColumn id="5" name="address_line"/>
    <tableColumn id="6" name="locality"/>
    <tableColumn id="7" name="postcode"/>
    <tableColumn id="8" name="region_council_area"/>
    <tableColumn id="9" name="latitude"/>
    <tableColumn id="10" name="longitude"/>
    <tableColumn id="11" name="nztm_easting"/>
    <tableColumn id="12" name="nztm_northing"/>
    <tableColumn id="13" name="geocode_source"/>
    <tableColumn id="14" name="geocode_accuracy"/>
    <tableColumn id="15" name="tkm_url"/>
    <tableColumn id="16" name="notes"/>
  </tableColumns>
</table>
</file>

<file path=xl/tables/table7.xml><?xml version="1.0" encoding="utf-8"?>
<table xmlns="http://schemas.openxmlformats.org/spreadsheetml/2006/main" id="7" name="Marae_Hapu" displayName="Marae_Hapu" ref="A1:D18" headerRowCount="1" totalsRowCount="0" totalsRowShown="0">
  <autoFilter ref="A1:D18"/>
  <tableColumns count="4">
    <tableColumn id="1" name="marae_id"/>
    <tableColumn id="2" name="hapu_id"/>
    <tableColumn id="3" name="iwi_id"/>
    <tableColumn id="4" name="notes"/>
  </tableColumns>
</table>
</file>

<file path=xl/tables/table8.xml><?xml version="1.0" encoding="utf-8"?>
<table xmlns="http://schemas.openxmlformats.org/spreadsheetml/2006/main" id="8" name="Region" displayName="Region" ref="A1:D14" headerRowCount="1" totalsRowCount="0" totalsRowShown="0">
  <autoFilter ref="A1:D14"/>
  <tableColumns count="4">
    <tableColumn id="1" name="region_id"/>
    <tableColumn id="2" name="region_name"/>
    <tableColumn id="3" name="tkm_url"/>
    <tableColumn id="4" name="notes"/>
  </tableColumns>
</table>
</file>

<file path=xl/tables/table9.xml><?xml version="1.0" encoding="utf-8"?>
<table xmlns="http://schemas.openxmlformats.org/spreadsheetml/2006/main" id="9" name="Representative_Org" displayName="Representative_Org" ref="A1:U2" headerRowCount="1" totalsRowCount="0" totalsRowShown="0">
  <autoFilter ref="A1:U2"/>
  <tableColumns count="21">
    <tableColumn id="1" name="org_id"/>
    <tableColumn id="2" name="iwi_id"/>
    <tableColumn id="3" name="org_name"/>
    <tableColumn id="4" name="org_role"/>
    <tableColumn id="5" name="legal_entity"/>
    <tableColumn id="6" name="governance_structure"/>
    <tableColumn id="7" name="flag_treaty_mandate"/>
    <tableColumn id="8" name="flag_psge"/>
    <tableColumn id="9" name="flag_mfa_mandated"/>
    <tableColumn id="10" name="flag_mfa_recognised"/>
    <tableColumn id="11" name="flag_iao"/>
    <tableColumn id="12" name="flag_rma_iwi_authority"/>
    <tableColumn id="13" name="flag_tuhono"/>
    <tableColumn id="14" name="settlement_act"/>
    <tableColumn id="15" name="postal_address"/>
    <tableColumn id="16" name="physical_address"/>
    <tableColumn id="17" name="phone"/>
    <tableColumn id="18" name="email"/>
    <tableColumn id="19" name="website"/>
    <tableColumn id="20" name="tkm_last_updated"/>
    <tableColumn id="21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8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<Relationship Id="rId3" Type="http://schemas.openxmlformats.org/officeDocument/2006/relationships/table" Target="../tables/table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<Relationship Id="rId3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<Relationship Id="rId3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<Relationship Id="rId3" Type="http://schemas.openxmlformats.org/officeDocument/2006/relationships/table" Target="../tables/table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<Relationship Id="rId3" Type="http://schemas.openxmlformats.org/officeDocument/2006/relationships/table" Target="../tables/table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<Relationship Id="rId3" Type="http://schemas.openxmlformats.org/officeDocument/2006/relationships/table" Target="../tables/table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1" t="s">
        <v>0</v>
      </c>
    </row>
    <row r="2" customFormat="false" ht="23.85" hidden="false" customHeight="false" outlineLevel="0" collapsed="false">
      <c r="A2" s="2" t="s">
        <v>1</v>
      </c>
      <c r="B2" s="3" t="s">
        <v>2</v>
      </c>
    </row>
    <row r="3" customFormat="false" ht="35.05" hidden="false" customHeight="false" outlineLevel="0" collapsed="false">
      <c r="A3" s="2" t="s">
        <v>3</v>
      </c>
      <c r="B3" s="3" t="s">
        <v>4</v>
      </c>
    </row>
    <row r="4" customFormat="false" ht="35.05" hidden="false" customHeight="false" outlineLevel="0" collapsed="false">
      <c r="A4" s="2" t="s">
        <v>5</v>
      </c>
      <c r="B4" s="3" t="s">
        <v>6</v>
      </c>
    </row>
    <row r="5" customFormat="false" ht="23.85" hidden="false" customHeight="false" outlineLevel="0" collapsed="false">
      <c r="A5" s="2" t="s">
        <v>7</v>
      </c>
      <c r="B5" s="3" t="s">
        <v>8</v>
      </c>
    </row>
    <row r="6" customFormat="false" ht="15" hidden="false" customHeight="false" outlineLevel="0" collapsed="false">
      <c r="A6" s="2"/>
      <c r="B6" s="3"/>
    </row>
    <row r="7" customFormat="false" ht="15" hidden="false" customHeight="false" outlineLevel="0" collapsed="false">
      <c r="A7" s="1" t="s">
        <v>9</v>
      </c>
    </row>
    <row r="8" customFormat="false" ht="15" hidden="false" customHeight="false" outlineLevel="0" collapsed="false">
      <c r="A8" s="2" t="s">
        <v>10</v>
      </c>
      <c r="B8" s="3" t="s">
        <v>11</v>
      </c>
    </row>
    <row r="9" customFormat="false" ht="15" hidden="false" customHeight="false" outlineLevel="0" collapsed="false">
      <c r="A9" s="2" t="s">
        <v>12</v>
      </c>
      <c r="B9" s="3" t="s">
        <v>13</v>
      </c>
    </row>
    <row r="10" customFormat="false" ht="15" hidden="false" customHeight="false" outlineLevel="0" collapsed="false">
      <c r="A10" s="2" t="s">
        <v>14</v>
      </c>
      <c r="B10" s="3" t="s">
        <v>15</v>
      </c>
    </row>
    <row r="11" customFormat="false" ht="15" hidden="false" customHeight="false" outlineLevel="0" collapsed="false">
      <c r="A11" s="2" t="s">
        <v>16</v>
      </c>
      <c r="B11" s="3" t="s">
        <v>17</v>
      </c>
    </row>
    <row r="12" customFormat="false" ht="15" hidden="false" customHeight="false" outlineLevel="0" collapsed="false">
      <c r="A12" s="2" t="s">
        <v>18</v>
      </c>
      <c r="B12" s="3" t="s">
        <v>19</v>
      </c>
    </row>
    <row r="13" customFormat="false" ht="23.85" hidden="false" customHeight="false" outlineLevel="0" collapsed="false">
      <c r="A13" s="2" t="s">
        <v>20</v>
      </c>
      <c r="B13" s="3" t="s">
        <v>21</v>
      </c>
    </row>
    <row r="14" customFormat="false" ht="15" hidden="false" customHeight="false" outlineLevel="0" collapsed="false">
      <c r="A14" s="2" t="s">
        <v>22</v>
      </c>
      <c r="B14" s="3" t="s">
        <v>23</v>
      </c>
    </row>
    <row r="15" customFormat="false" ht="23.85" hidden="false" customHeight="false" outlineLevel="0" collapsed="false">
      <c r="A15" s="2" t="s">
        <v>24</v>
      </c>
      <c r="B15" s="3" t="s">
        <v>25</v>
      </c>
    </row>
    <row r="16" customFormat="false" ht="15" hidden="false" customHeight="false" outlineLevel="0" collapsed="false">
      <c r="A16" s="2" t="s">
        <v>26</v>
      </c>
      <c r="B16" s="3" t="s">
        <v>27</v>
      </c>
    </row>
    <row r="17" customFormat="false" ht="23.85" hidden="false" customHeight="false" outlineLevel="0" collapsed="false">
      <c r="A17" s="2" t="s">
        <v>28</v>
      </c>
      <c r="B17" s="3" t="s">
        <v>29</v>
      </c>
    </row>
    <row r="18" customFormat="false" ht="15" hidden="false" customHeight="false" outlineLevel="0" collapsed="false">
      <c r="A18" s="2"/>
      <c r="B18" s="3"/>
    </row>
    <row r="19" customFormat="false" ht="15" hidden="false" customHeight="false" outlineLevel="0" collapsed="false">
      <c r="A19" s="1" t="s">
        <v>30</v>
      </c>
    </row>
    <row r="20" customFormat="false" ht="35.05" hidden="false" customHeight="false" outlineLevel="0" collapsed="false">
      <c r="A20" s="2" t="s">
        <v>31</v>
      </c>
      <c r="B20" s="3" t="s">
        <v>32</v>
      </c>
    </row>
    <row r="21" customFormat="false" ht="23.85" hidden="false" customHeight="false" outlineLevel="0" collapsed="false">
      <c r="A21" s="2" t="s">
        <v>33</v>
      </c>
      <c r="B21" s="3" t="s">
        <v>34</v>
      </c>
    </row>
    <row r="22" customFormat="false" ht="15" hidden="false" customHeight="false" outlineLevel="0" collapsed="false">
      <c r="A22" s="2"/>
      <c r="B22" s="3"/>
    </row>
    <row r="23" customFormat="false" ht="15" hidden="false" customHeight="false" outlineLevel="0" collapsed="false">
      <c r="A23" s="1" t="s">
        <v>35</v>
      </c>
    </row>
    <row r="24" customFormat="false" ht="23.85" hidden="false" customHeight="false" outlineLevel="0" collapsed="false">
      <c r="A24" s="2" t="s">
        <v>36</v>
      </c>
      <c r="B24" s="3" t="s">
        <v>37</v>
      </c>
    </row>
    <row r="25" customFormat="false" ht="15" hidden="false" customHeight="false" outlineLevel="0" collapsed="false">
      <c r="A25" s="2" t="s">
        <v>38</v>
      </c>
      <c r="B25" s="3" t="s">
        <v>39</v>
      </c>
    </row>
    <row r="26" customFormat="false" ht="23.85" hidden="false" customHeight="false" outlineLevel="0" collapsed="false">
      <c r="A26" s="2" t="s">
        <v>40</v>
      </c>
      <c r="B26" s="3" t="s">
        <v>41</v>
      </c>
    </row>
    <row r="27" customFormat="false" ht="15" hidden="false" customHeight="false" outlineLevel="0" collapsed="false">
      <c r="A27" s="2" t="s">
        <v>42</v>
      </c>
      <c r="B27" s="3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6"/>
    <col collapsed="false" customWidth="true" hidden="false" outlineLevel="0" max="3" min="3" style="0" width="52"/>
    <col collapsed="false" customWidth="true" hidden="false" outlineLevel="0" max="4" min="4" style="0" width="40"/>
  </cols>
  <sheetData>
    <row r="1" customFormat="false" ht="30" hidden="false" customHeight="true" outlineLevel="0" collapsed="false">
      <c r="A1" s="4" t="s">
        <v>44</v>
      </c>
      <c r="B1" s="4" t="s">
        <v>45</v>
      </c>
      <c r="C1" s="4" t="s">
        <v>46</v>
      </c>
      <c r="D1" s="4" t="s">
        <v>47</v>
      </c>
    </row>
    <row r="2" customFormat="false" ht="15" hidden="false" customHeight="false" outlineLevel="0" collapsed="false">
      <c r="A2" s="3" t="s">
        <v>48</v>
      </c>
      <c r="B2" s="3" t="s">
        <v>49</v>
      </c>
      <c r="C2" s="3" t="s">
        <v>50</v>
      </c>
      <c r="D2" s="3"/>
    </row>
    <row r="3" customFormat="false" ht="15" hidden="false" customHeight="false" outlineLevel="0" collapsed="false">
      <c r="A3" s="3" t="s">
        <v>51</v>
      </c>
      <c r="B3" s="3" t="s">
        <v>52</v>
      </c>
      <c r="C3" s="3" t="s">
        <v>53</v>
      </c>
      <c r="D3" s="3"/>
    </row>
    <row r="4" customFormat="false" ht="15" hidden="false" customHeight="false" outlineLevel="0" collapsed="false">
      <c r="A4" s="3" t="s">
        <v>54</v>
      </c>
      <c r="B4" s="3" t="s">
        <v>55</v>
      </c>
      <c r="C4" s="3" t="s">
        <v>56</v>
      </c>
      <c r="D4" s="3"/>
    </row>
    <row r="5" customFormat="false" ht="15" hidden="false" customHeight="false" outlineLevel="0" collapsed="false">
      <c r="A5" s="3" t="s">
        <v>57</v>
      </c>
      <c r="B5" s="3" t="s">
        <v>58</v>
      </c>
      <c r="C5" s="3" t="s">
        <v>59</v>
      </c>
      <c r="D5" s="3"/>
    </row>
    <row r="6" customFormat="false" ht="15" hidden="false" customHeight="false" outlineLevel="0" collapsed="false">
      <c r="A6" s="3" t="s">
        <v>60</v>
      </c>
      <c r="B6" s="3" t="s">
        <v>61</v>
      </c>
      <c r="C6" s="3" t="s">
        <v>62</v>
      </c>
      <c r="D6" s="3"/>
    </row>
    <row r="7" customFormat="false" ht="15" hidden="false" customHeight="false" outlineLevel="0" collapsed="false">
      <c r="A7" s="3" t="s">
        <v>63</v>
      </c>
      <c r="B7" s="3" t="s">
        <v>64</v>
      </c>
      <c r="C7" s="3" t="s">
        <v>65</v>
      </c>
      <c r="D7" s="3"/>
    </row>
    <row r="8" customFormat="false" ht="15" hidden="false" customHeight="false" outlineLevel="0" collapsed="false">
      <c r="A8" s="3" t="s">
        <v>66</v>
      </c>
      <c r="B8" s="3" t="s">
        <v>67</v>
      </c>
      <c r="C8" s="3" t="s">
        <v>68</v>
      </c>
      <c r="D8" s="3"/>
    </row>
    <row r="9" customFormat="false" ht="15" hidden="false" customHeight="false" outlineLevel="0" collapsed="false">
      <c r="A9" s="3" t="s">
        <v>69</v>
      </c>
      <c r="B9" s="3" t="s">
        <v>70</v>
      </c>
      <c r="C9" s="3" t="s">
        <v>71</v>
      </c>
      <c r="D9" s="3"/>
    </row>
    <row r="10" customFormat="false" ht="15" hidden="false" customHeight="false" outlineLevel="0" collapsed="false">
      <c r="A10" s="3" t="s">
        <v>72</v>
      </c>
      <c r="B10" s="3" t="s">
        <v>73</v>
      </c>
      <c r="C10" s="3" t="s">
        <v>74</v>
      </c>
      <c r="D10" s="3"/>
    </row>
    <row r="11" customFormat="false" ht="15" hidden="false" customHeight="false" outlineLevel="0" collapsed="false">
      <c r="A11" s="3" t="s">
        <v>75</v>
      </c>
      <c r="B11" s="3" t="s">
        <v>76</v>
      </c>
      <c r="C11" s="3" t="s">
        <v>77</v>
      </c>
      <c r="D11" s="3"/>
    </row>
    <row r="12" customFormat="false" ht="15" hidden="false" customHeight="false" outlineLevel="0" collapsed="false">
      <c r="A12" s="3" t="s">
        <v>78</v>
      </c>
      <c r="B12" s="3" t="s">
        <v>79</v>
      </c>
      <c r="C12" s="3" t="s">
        <v>80</v>
      </c>
      <c r="D12" s="3"/>
    </row>
    <row r="13" customFormat="false" ht="15" hidden="false" customHeight="false" outlineLevel="0" collapsed="false">
      <c r="A13" s="3" t="s">
        <v>81</v>
      </c>
      <c r="B13" s="3" t="s">
        <v>82</v>
      </c>
      <c r="C13" s="3" t="s">
        <v>83</v>
      </c>
      <c r="D13" s="3"/>
    </row>
    <row r="14" customFormat="false" ht="15" hidden="false" customHeight="false" outlineLevel="0" collapsed="false">
      <c r="A14" s="3" t="s">
        <v>84</v>
      </c>
      <c r="B14" s="3" t="s">
        <v>85</v>
      </c>
      <c r="C14" s="3" t="s">
        <v>86</v>
      </c>
      <c r="D14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54"/>
    <col collapsed="false" customWidth="true" hidden="false" outlineLevel="0" max="5" min="5" style="0" width="34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60"/>
    <col collapsed="false" customWidth="true" hidden="false" outlineLevel="0" max="10" min="9" style="0" width="40"/>
    <col collapsed="false" customWidth="true" hidden="false" outlineLevel="0" max="11" min="11" style="0" width="24"/>
    <col collapsed="false" customWidth="true" hidden="false" outlineLevel="0" max="12" min="12" style="0" width="16"/>
    <col collapsed="false" customWidth="true" hidden="false" outlineLevel="0" max="13" min="13" style="0" width="30"/>
  </cols>
  <sheetData>
    <row r="1" customFormat="false" ht="30" hidden="false" customHeight="true" outlineLevel="0" collapsed="false">
      <c r="A1" s="4" t="s">
        <v>87</v>
      </c>
      <c r="B1" s="4" t="s">
        <v>88</v>
      </c>
      <c r="C1" s="4" t="s">
        <v>89</v>
      </c>
      <c r="D1" s="4" t="s">
        <v>46</v>
      </c>
      <c r="E1" s="4" t="s">
        <v>90</v>
      </c>
      <c r="F1" s="4" t="s">
        <v>91</v>
      </c>
      <c r="G1" s="4" t="s">
        <v>92</v>
      </c>
      <c r="H1" s="4" t="s">
        <v>93</v>
      </c>
      <c r="I1" s="4" t="s">
        <v>94</v>
      </c>
      <c r="J1" s="4" t="s">
        <v>95</v>
      </c>
      <c r="K1" s="4" t="s">
        <v>96</v>
      </c>
      <c r="L1" s="4" t="s">
        <v>97</v>
      </c>
      <c r="M1" s="4" t="s">
        <v>47</v>
      </c>
    </row>
    <row r="2" customFormat="false" ht="15" hidden="false" customHeight="false" outlineLevel="0" collapsed="false">
      <c r="A2" s="3" t="s">
        <v>98</v>
      </c>
      <c r="B2" s="3" t="s">
        <v>99</v>
      </c>
      <c r="C2" s="3" t="s">
        <v>48</v>
      </c>
      <c r="D2" s="3" t="s">
        <v>100</v>
      </c>
      <c r="E2" s="3"/>
      <c r="F2" s="3"/>
      <c r="G2" s="3"/>
      <c r="H2" s="3"/>
      <c r="I2" s="3"/>
      <c r="J2" s="3"/>
      <c r="K2" s="3"/>
      <c r="L2" s="3"/>
      <c r="M2" s="3"/>
    </row>
    <row r="3" customFormat="false" ht="15" hidden="false" customHeight="false" outlineLevel="0" collapsed="false">
      <c r="A3" s="3" t="s">
        <v>101</v>
      </c>
      <c r="B3" s="3" t="s">
        <v>102</v>
      </c>
      <c r="C3" s="3" t="s">
        <v>48</v>
      </c>
      <c r="D3" s="3" t="s">
        <v>103</v>
      </c>
      <c r="E3" s="3"/>
      <c r="F3" s="3"/>
      <c r="G3" s="3"/>
      <c r="H3" s="3"/>
      <c r="I3" s="3"/>
      <c r="J3" s="3"/>
      <c r="K3" s="3"/>
      <c r="L3" s="3"/>
      <c r="M3" s="3"/>
    </row>
    <row r="4" customFormat="false" ht="15" hidden="false" customHeight="false" outlineLevel="0" collapsed="false">
      <c r="A4" s="3" t="s">
        <v>104</v>
      </c>
      <c r="B4" s="3" t="s">
        <v>105</v>
      </c>
      <c r="C4" s="3" t="s">
        <v>48</v>
      </c>
      <c r="D4" s="3" t="s">
        <v>106</v>
      </c>
      <c r="E4" s="3"/>
      <c r="F4" s="3"/>
      <c r="G4" s="3"/>
      <c r="H4" s="3"/>
      <c r="I4" s="3"/>
      <c r="J4" s="3"/>
      <c r="K4" s="3"/>
      <c r="L4" s="3"/>
      <c r="M4" s="3"/>
    </row>
    <row r="5" customFormat="false" ht="15" hidden="false" customHeight="false" outlineLevel="0" collapsed="false">
      <c r="A5" s="3" t="s">
        <v>107</v>
      </c>
      <c r="B5" s="3" t="s">
        <v>108</v>
      </c>
      <c r="C5" s="3" t="s">
        <v>48</v>
      </c>
      <c r="D5" s="3" t="s">
        <v>109</v>
      </c>
      <c r="E5" s="3"/>
      <c r="F5" s="3"/>
      <c r="G5" s="3"/>
      <c r="H5" s="3"/>
      <c r="I5" s="3"/>
      <c r="J5" s="3"/>
      <c r="K5" s="3"/>
      <c r="L5" s="3"/>
      <c r="M5" s="3"/>
    </row>
    <row r="6" customFormat="false" ht="15" hidden="false" customHeight="false" outlineLevel="0" collapsed="false">
      <c r="A6" s="3" t="s">
        <v>110</v>
      </c>
      <c r="B6" s="3" t="s">
        <v>111</v>
      </c>
      <c r="C6" s="3" t="s">
        <v>48</v>
      </c>
      <c r="D6" s="3" t="s">
        <v>112</v>
      </c>
      <c r="E6" s="3"/>
      <c r="F6" s="3"/>
      <c r="G6" s="3"/>
      <c r="H6" s="3"/>
      <c r="I6" s="3"/>
      <c r="J6" s="3"/>
      <c r="K6" s="3"/>
      <c r="L6" s="3"/>
      <c r="M6" s="3"/>
    </row>
    <row r="7" customFormat="false" ht="15" hidden="false" customHeight="false" outlineLevel="0" collapsed="false">
      <c r="A7" s="3" t="s">
        <v>113</v>
      </c>
      <c r="B7" s="3" t="s">
        <v>114</v>
      </c>
      <c r="C7" s="3" t="s">
        <v>48</v>
      </c>
      <c r="D7" s="3" t="s">
        <v>115</v>
      </c>
      <c r="E7" s="3"/>
      <c r="F7" s="3"/>
      <c r="G7" s="3"/>
      <c r="H7" s="3"/>
      <c r="I7" s="3"/>
      <c r="J7" s="3"/>
      <c r="K7" s="3"/>
      <c r="L7" s="3"/>
      <c r="M7" s="3"/>
    </row>
    <row r="8" customFormat="false" ht="15" hidden="false" customHeight="false" outlineLevel="0" collapsed="false">
      <c r="A8" s="3" t="s">
        <v>116</v>
      </c>
      <c r="B8" s="3" t="s">
        <v>117</v>
      </c>
      <c r="C8" s="3" t="s">
        <v>48</v>
      </c>
      <c r="D8" s="3" t="s">
        <v>118</v>
      </c>
      <c r="E8" s="3"/>
      <c r="F8" s="3"/>
      <c r="G8" s="3"/>
      <c r="H8" s="3"/>
      <c r="I8" s="3"/>
      <c r="J8" s="3"/>
      <c r="K8" s="3"/>
      <c r="L8" s="3"/>
      <c r="M8" s="3"/>
    </row>
    <row r="9" customFormat="false" ht="15" hidden="false" customHeight="false" outlineLevel="0" collapsed="false">
      <c r="A9" s="3" t="s">
        <v>119</v>
      </c>
      <c r="B9" s="3" t="s">
        <v>120</v>
      </c>
      <c r="C9" s="3" t="s">
        <v>48</v>
      </c>
      <c r="D9" s="3" t="s">
        <v>121</v>
      </c>
      <c r="E9" s="3"/>
      <c r="F9" s="3"/>
      <c r="G9" s="3"/>
      <c r="H9" s="3"/>
      <c r="I9" s="3"/>
      <c r="J9" s="3"/>
      <c r="K9" s="3"/>
      <c r="L9" s="3"/>
      <c r="M9" s="3"/>
    </row>
    <row r="10" customFormat="false" ht="15" hidden="false" customHeight="false" outlineLevel="0" collapsed="false">
      <c r="A10" s="3" t="s">
        <v>122</v>
      </c>
      <c r="B10" s="3" t="s">
        <v>123</v>
      </c>
      <c r="C10" s="3" t="s">
        <v>48</v>
      </c>
      <c r="D10" s="3" t="s">
        <v>124</v>
      </c>
      <c r="E10" s="3"/>
      <c r="F10" s="3"/>
      <c r="G10" s="3"/>
      <c r="H10" s="3"/>
      <c r="I10" s="3"/>
      <c r="J10" s="3"/>
      <c r="K10" s="3"/>
      <c r="L10" s="3"/>
      <c r="M10" s="3"/>
    </row>
    <row r="11" customFormat="false" ht="23.85" hidden="false" customHeight="false" outlineLevel="0" collapsed="false">
      <c r="A11" s="5" t="s">
        <v>125</v>
      </c>
      <c r="B11" s="5" t="s">
        <v>126</v>
      </c>
      <c r="C11" s="5" t="s">
        <v>48</v>
      </c>
      <c r="D11" s="5" t="s">
        <v>127</v>
      </c>
      <c r="E11" s="5" t="s">
        <v>128</v>
      </c>
      <c r="F11" s="5" t="n">
        <v>5667</v>
      </c>
      <c r="G11" s="5" t="s">
        <v>129</v>
      </c>
      <c r="H11" s="5" t="s">
        <v>130</v>
      </c>
      <c r="I11" s="5" t="s">
        <v>131</v>
      </c>
      <c r="J11" s="5" t="s">
        <v>132</v>
      </c>
      <c r="K11" s="5" t="s">
        <v>133</v>
      </c>
      <c r="L11" s="5" t="s">
        <v>134</v>
      </c>
      <c r="M11" s="5"/>
    </row>
    <row r="12" customFormat="false" ht="15" hidden="false" customHeight="false" outlineLevel="0" collapsed="false">
      <c r="A12" s="3" t="s">
        <v>135</v>
      </c>
      <c r="B12" s="3" t="s">
        <v>136</v>
      </c>
      <c r="C12" s="3" t="s">
        <v>48</v>
      </c>
      <c r="D12" s="3" t="s">
        <v>137</v>
      </c>
      <c r="E12" s="3"/>
      <c r="F12" s="3"/>
      <c r="G12" s="3"/>
      <c r="H12" s="3"/>
      <c r="I12" s="3"/>
      <c r="J12" s="3"/>
      <c r="K12" s="3"/>
      <c r="L12" s="3"/>
      <c r="M12" s="3"/>
    </row>
    <row r="13" customFormat="false" ht="15" hidden="false" customHeight="false" outlineLevel="0" collapsed="false">
      <c r="A13" s="3" t="s">
        <v>138</v>
      </c>
      <c r="B13" s="3" t="s">
        <v>139</v>
      </c>
      <c r="C13" s="3" t="s">
        <v>48</v>
      </c>
      <c r="D13" s="3" t="s">
        <v>140</v>
      </c>
      <c r="E13" s="3"/>
      <c r="F13" s="3"/>
      <c r="G13" s="3"/>
      <c r="H13" s="3"/>
      <c r="I13" s="3"/>
      <c r="J13" s="3"/>
      <c r="K13" s="3"/>
      <c r="L13" s="3"/>
      <c r="M13" s="3"/>
    </row>
    <row r="14" customFormat="false" ht="15" hidden="false" customHeight="false" outlineLevel="0" collapsed="false">
      <c r="A14" s="3" t="s">
        <v>141</v>
      </c>
      <c r="B14" s="3" t="s">
        <v>142</v>
      </c>
      <c r="C14" s="3" t="s">
        <v>51</v>
      </c>
      <c r="D14" s="3" t="s">
        <v>143</v>
      </c>
      <c r="E14" s="3"/>
      <c r="F14" s="3"/>
      <c r="G14" s="3"/>
      <c r="H14" s="3"/>
      <c r="I14" s="3"/>
      <c r="J14" s="3"/>
      <c r="K14" s="3"/>
      <c r="L14" s="3"/>
      <c r="M14" s="3"/>
    </row>
    <row r="15" customFormat="false" ht="15" hidden="false" customHeight="false" outlineLevel="0" collapsed="false">
      <c r="A15" s="3" t="s">
        <v>144</v>
      </c>
      <c r="B15" s="3" t="s">
        <v>145</v>
      </c>
      <c r="C15" s="3" t="s">
        <v>51</v>
      </c>
      <c r="D15" s="3" t="s">
        <v>146</v>
      </c>
      <c r="E15" s="3"/>
      <c r="F15" s="3"/>
      <c r="G15" s="3"/>
      <c r="H15" s="3"/>
      <c r="I15" s="3"/>
      <c r="J15" s="3"/>
      <c r="K15" s="3"/>
      <c r="L15" s="3"/>
      <c r="M15" s="3"/>
    </row>
    <row r="16" customFormat="false" ht="15" hidden="false" customHeight="false" outlineLevel="0" collapsed="false">
      <c r="A16" s="3" t="s">
        <v>147</v>
      </c>
      <c r="B16" s="3" t="s">
        <v>148</v>
      </c>
      <c r="C16" s="3" t="s">
        <v>51</v>
      </c>
      <c r="D16" s="3" t="s">
        <v>149</v>
      </c>
      <c r="E16" s="3"/>
      <c r="F16" s="3"/>
      <c r="G16" s="3"/>
      <c r="H16" s="3"/>
      <c r="I16" s="3"/>
      <c r="J16" s="3"/>
      <c r="K16" s="3"/>
      <c r="L16" s="3"/>
      <c r="M16" s="3"/>
    </row>
    <row r="17" customFormat="false" ht="15" hidden="false" customHeight="false" outlineLevel="0" collapsed="false">
      <c r="A17" s="3" t="s">
        <v>150</v>
      </c>
      <c r="B17" s="3" t="s">
        <v>151</v>
      </c>
      <c r="C17" s="3" t="s">
        <v>51</v>
      </c>
      <c r="D17" s="3" t="s">
        <v>152</v>
      </c>
      <c r="E17" s="3"/>
      <c r="F17" s="3"/>
      <c r="G17" s="3"/>
      <c r="H17" s="3"/>
      <c r="I17" s="3"/>
      <c r="J17" s="3"/>
      <c r="K17" s="3"/>
      <c r="L17" s="3"/>
      <c r="M17" s="3"/>
    </row>
    <row r="18" customFormat="false" ht="15" hidden="false" customHeight="false" outlineLevel="0" collapsed="false">
      <c r="A18" s="3" t="s">
        <v>153</v>
      </c>
      <c r="B18" s="3" t="s">
        <v>154</v>
      </c>
      <c r="C18" s="3" t="s">
        <v>51</v>
      </c>
      <c r="D18" s="3" t="s">
        <v>155</v>
      </c>
      <c r="E18" s="3"/>
      <c r="F18" s="3"/>
      <c r="G18" s="3"/>
      <c r="H18" s="3"/>
      <c r="I18" s="3"/>
      <c r="J18" s="3"/>
      <c r="K18" s="3"/>
      <c r="L18" s="3"/>
      <c r="M18" s="3"/>
    </row>
    <row r="19" customFormat="false" ht="15" hidden="false" customHeight="false" outlineLevel="0" collapsed="false">
      <c r="A19" s="3" t="s">
        <v>156</v>
      </c>
      <c r="B19" s="3" t="s">
        <v>157</v>
      </c>
      <c r="C19" s="3" t="s">
        <v>51</v>
      </c>
      <c r="D19" s="3" t="s">
        <v>158</v>
      </c>
      <c r="E19" s="3"/>
      <c r="F19" s="3"/>
      <c r="G19" s="3"/>
      <c r="H19" s="3"/>
      <c r="I19" s="3"/>
      <c r="J19" s="3"/>
      <c r="K19" s="3"/>
      <c r="L19" s="3"/>
      <c r="M19" s="3"/>
    </row>
    <row r="20" customFormat="false" ht="15" hidden="false" customHeight="false" outlineLevel="0" collapsed="false">
      <c r="A20" s="3" t="s">
        <v>159</v>
      </c>
      <c r="B20" s="3" t="s">
        <v>160</v>
      </c>
      <c r="C20" s="3" t="s">
        <v>51</v>
      </c>
      <c r="D20" s="3" t="s">
        <v>161</v>
      </c>
      <c r="E20" s="3"/>
      <c r="F20" s="3"/>
      <c r="G20" s="3"/>
      <c r="H20" s="3"/>
      <c r="I20" s="3"/>
      <c r="J20" s="3"/>
      <c r="K20" s="3"/>
      <c r="L20" s="3"/>
      <c r="M20" s="3"/>
    </row>
    <row r="21" customFormat="false" ht="15" hidden="false" customHeight="false" outlineLevel="0" collapsed="false">
      <c r="A21" s="3" t="s">
        <v>162</v>
      </c>
      <c r="B21" s="3" t="s">
        <v>163</v>
      </c>
      <c r="C21" s="3" t="s">
        <v>51</v>
      </c>
      <c r="D21" s="3" t="s">
        <v>164</v>
      </c>
      <c r="E21" s="3"/>
      <c r="F21" s="3"/>
      <c r="G21" s="3"/>
      <c r="H21" s="3"/>
      <c r="I21" s="3"/>
      <c r="J21" s="3"/>
      <c r="K21" s="3"/>
      <c r="L21" s="3"/>
      <c r="M21" s="3"/>
    </row>
    <row r="22" customFormat="false" ht="15" hidden="false" customHeight="false" outlineLevel="0" collapsed="false">
      <c r="A22" s="3" t="s">
        <v>165</v>
      </c>
      <c r="B22" s="3" t="s">
        <v>166</v>
      </c>
      <c r="C22" s="3" t="s">
        <v>51</v>
      </c>
      <c r="D22" s="3" t="s">
        <v>167</v>
      </c>
      <c r="E22" s="3"/>
      <c r="F22" s="3"/>
      <c r="G22" s="3"/>
      <c r="H22" s="3"/>
      <c r="I22" s="3"/>
      <c r="J22" s="3"/>
      <c r="K22" s="3"/>
      <c r="L22" s="3"/>
      <c r="M22" s="3"/>
    </row>
    <row r="23" customFormat="false" ht="15" hidden="false" customHeight="false" outlineLevel="0" collapsed="false">
      <c r="A23" s="3" t="s">
        <v>168</v>
      </c>
      <c r="B23" s="3" t="s">
        <v>169</v>
      </c>
      <c r="C23" s="3" t="s">
        <v>51</v>
      </c>
      <c r="D23" s="3" t="s">
        <v>170</v>
      </c>
      <c r="E23" s="3"/>
      <c r="F23" s="3"/>
      <c r="G23" s="3"/>
      <c r="H23" s="3"/>
      <c r="I23" s="3"/>
      <c r="J23" s="3"/>
      <c r="K23" s="3"/>
      <c r="L23" s="3"/>
      <c r="M23" s="3"/>
    </row>
    <row r="24" customFormat="false" ht="15" hidden="false" customHeight="false" outlineLevel="0" collapsed="false">
      <c r="A24" s="3" t="s">
        <v>171</v>
      </c>
      <c r="B24" s="3" t="s">
        <v>172</v>
      </c>
      <c r="C24" s="3" t="s">
        <v>51</v>
      </c>
      <c r="D24" s="3" t="s">
        <v>173</v>
      </c>
      <c r="E24" s="3"/>
      <c r="F24" s="3"/>
      <c r="G24" s="3"/>
      <c r="H24" s="3"/>
      <c r="I24" s="3"/>
      <c r="J24" s="3"/>
      <c r="K24" s="3"/>
      <c r="L24" s="3"/>
      <c r="M24" s="3"/>
    </row>
    <row r="25" customFormat="false" ht="15" hidden="false" customHeight="false" outlineLevel="0" collapsed="false">
      <c r="A25" s="3" t="s">
        <v>174</v>
      </c>
      <c r="B25" s="3" t="s">
        <v>175</v>
      </c>
      <c r="C25" s="3" t="s">
        <v>51</v>
      </c>
      <c r="D25" s="3" t="s">
        <v>176</v>
      </c>
      <c r="E25" s="3"/>
      <c r="F25" s="3"/>
      <c r="G25" s="3"/>
      <c r="H25" s="3"/>
      <c r="I25" s="3"/>
      <c r="J25" s="3"/>
      <c r="K25" s="3"/>
      <c r="L25" s="3"/>
      <c r="M25" s="3"/>
    </row>
    <row r="26" customFormat="false" ht="15" hidden="false" customHeight="false" outlineLevel="0" collapsed="false">
      <c r="A26" s="3" t="s">
        <v>177</v>
      </c>
      <c r="B26" s="3" t="s">
        <v>178</v>
      </c>
      <c r="C26" s="3" t="s">
        <v>51</v>
      </c>
      <c r="D26" s="3" t="s">
        <v>179</v>
      </c>
      <c r="E26" s="3"/>
      <c r="F26" s="3"/>
      <c r="G26" s="3"/>
      <c r="H26" s="3"/>
      <c r="I26" s="3"/>
      <c r="J26" s="3"/>
      <c r="K26" s="3"/>
      <c r="L26" s="3"/>
      <c r="M26" s="3"/>
    </row>
    <row r="27" customFormat="false" ht="15" hidden="false" customHeight="false" outlineLevel="0" collapsed="false">
      <c r="A27" s="3" t="s">
        <v>180</v>
      </c>
      <c r="B27" s="3" t="s">
        <v>181</v>
      </c>
      <c r="C27" s="3" t="s">
        <v>51</v>
      </c>
      <c r="D27" s="3" t="s">
        <v>182</v>
      </c>
      <c r="E27" s="3"/>
      <c r="F27" s="3"/>
      <c r="G27" s="3"/>
      <c r="H27" s="3"/>
      <c r="I27" s="3"/>
      <c r="J27" s="3"/>
      <c r="K27" s="3"/>
      <c r="L27" s="3"/>
      <c r="M27" s="3"/>
    </row>
    <row r="28" customFormat="false" ht="15" hidden="false" customHeight="false" outlineLevel="0" collapsed="false">
      <c r="A28" s="3" t="s">
        <v>183</v>
      </c>
      <c r="B28" s="3" t="s">
        <v>184</v>
      </c>
      <c r="C28" s="3" t="s">
        <v>51</v>
      </c>
      <c r="D28" s="3" t="s">
        <v>185</v>
      </c>
      <c r="E28" s="3"/>
      <c r="F28" s="3"/>
      <c r="G28" s="3"/>
      <c r="H28" s="3"/>
      <c r="I28" s="3"/>
      <c r="J28" s="3"/>
      <c r="K28" s="3"/>
      <c r="L28" s="3"/>
      <c r="M28" s="3"/>
    </row>
    <row r="29" customFormat="false" ht="15" hidden="false" customHeight="false" outlineLevel="0" collapsed="false">
      <c r="A29" s="3" t="s">
        <v>186</v>
      </c>
      <c r="B29" s="3" t="s">
        <v>187</v>
      </c>
      <c r="C29" s="3" t="s">
        <v>54</v>
      </c>
      <c r="D29" s="3" t="s">
        <v>188</v>
      </c>
      <c r="E29" s="3"/>
      <c r="F29" s="3"/>
      <c r="G29" s="3"/>
      <c r="H29" s="3"/>
      <c r="I29" s="3"/>
      <c r="J29" s="3"/>
      <c r="K29" s="3"/>
      <c r="L29" s="3"/>
      <c r="M29" s="3"/>
    </row>
    <row r="30" customFormat="false" ht="15" hidden="false" customHeight="false" outlineLevel="0" collapsed="false">
      <c r="A30" s="3" t="s">
        <v>189</v>
      </c>
      <c r="B30" s="3" t="s">
        <v>190</v>
      </c>
      <c r="C30" s="3" t="s">
        <v>54</v>
      </c>
      <c r="D30" s="3" t="s">
        <v>191</v>
      </c>
      <c r="E30" s="3"/>
      <c r="F30" s="3"/>
      <c r="G30" s="3"/>
      <c r="H30" s="3"/>
      <c r="I30" s="3"/>
      <c r="J30" s="3"/>
      <c r="K30" s="3"/>
      <c r="L30" s="3"/>
      <c r="M30" s="3"/>
    </row>
    <row r="31" customFormat="false" ht="15" hidden="false" customHeight="false" outlineLevel="0" collapsed="false">
      <c r="A31" s="3" t="s">
        <v>192</v>
      </c>
      <c r="B31" s="3" t="s">
        <v>193</v>
      </c>
      <c r="C31" s="3" t="s">
        <v>54</v>
      </c>
      <c r="D31" s="3" t="s">
        <v>194</v>
      </c>
      <c r="E31" s="3"/>
      <c r="F31" s="3"/>
      <c r="G31" s="3"/>
      <c r="H31" s="3"/>
      <c r="I31" s="3"/>
      <c r="J31" s="3"/>
      <c r="K31" s="3"/>
      <c r="L31" s="3"/>
      <c r="M31" s="3"/>
    </row>
    <row r="32" customFormat="false" ht="15" hidden="false" customHeight="false" outlineLevel="0" collapsed="false">
      <c r="A32" s="3" t="s">
        <v>195</v>
      </c>
      <c r="B32" s="3" t="s">
        <v>196</v>
      </c>
      <c r="C32" s="3" t="s">
        <v>54</v>
      </c>
      <c r="D32" s="3" t="s">
        <v>197</v>
      </c>
      <c r="E32" s="3"/>
      <c r="F32" s="3"/>
      <c r="G32" s="3"/>
      <c r="H32" s="3"/>
      <c r="I32" s="3"/>
      <c r="J32" s="3"/>
      <c r="K32" s="3"/>
      <c r="L32" s="3"/>
      <c r="M32" s="3"/>
    </row>
    <row r="33" customFormat="false" ht="15" hidden="false" customHeight="false" outlineLevel="0" collapsed="false">
      <c r="A33" s="3" t="s">
        <v>198</v>
      </c>
      <c r="B33" s="3" t="s">
        <v>199</v>
      </c>
      <c r="C33" s="3" t="s">
        <v>54</v>
      </c>
      <c r="D33" s="3" t="s">
        <v>200</v>
      </c>
      <c r="E33" s="3"/>
      <c r="F33" s="3"/>
      <c r="G33" s="3"/>
      <c r="H33" s="3"/>
      <c r="I33" s="3"/>
      <c r="J33" s="3"/>
      <c r="K33" s="3"/>
      <c r="L33" s="3"/>
      <c r="M33" s="3"/>
    </row>
    <row r="34" customFormat="false" ht="15" hidden="false" customHeight="false" outlineLevel="0" collapsed="false">
      <c r="A34" s="3" t="s">
        <v>201</v>
      </c>
      <c r="B34" s="3" t="s">
        <v>202</v>
      </c>
      <c r="C34" s="3" t="s">
        <v>54</v>
      </c>
      <c r="D34" s="3" t="s">
        <v>203</v>
      </c>
      <c r="E34" s="3"/>
      <c r="F34" s="3"/>
      <c r="G34" s="3"/>
      <c r="H34" s="3"/>
      <c r="I34" s="3"/>
      <c r="J34" s="3"/>
      <c r="K34" s="3"/>
      <c r="L34" s="3"/>
      <c r="M34" s="3"/>
    </row>
    <row r="35" customFormat="false" ht="15" hidden="false" customHeight="false" outlineLevel="0" collapsed="false">
      <c r="A35" s="3" t="s">
        <v>204</v>
      </c>
      <c r="B35" s="3" t="s">
        <v>205</v>
      </c>
      <c r="C35" s="3" t="s">
        <v>57</v>
      </c>
      <c r="D35" s="3" t="s">
        <v>206</v>
      </c>
      <c r="E35" s="3"/>
      <c r="F35" s="3"/>
      <c r="G35" s="3"/>
      <c r="H35" s="3"/>
      <c r="I35" s="3"/>
      <c r="J35" s="3"/>
      <c r="K35" s="3"/>
      <c r="L35" s="3"/>
      <c r="M35" s="3"/>
    </row>
    <row r="36" customFormat="false" ht="15" hidden="false" customHeight="false" outlineLevel="0" collapsed="false">
      <c r="A36" s="3" t="s">
        <v>207</v>
      </c>
      <c r="B36" s="3" t="s">
        <v>208</v>
      </c>
      <c r="C36" s="3" t="s">
        <v>57</v>
      </c>
      <c r="D36" s="3" t="s">
        <v>209</v>
      </c>
      <c r="E36" s="3"/>
      <c r="F36" s="3"/>
      <c r="G36" s="3"/>
      <c r="H36" s="3"/>
      <c r="I36" s="3"/>
      <c r="J36" s="3"/>
      <c r="K36" s="3"/>
      <c r="L36" s="3"/>
      <c r="M36" s="3"/>
    </row>
    <row r="37" customFormat="false" ht="15" hidden="false" customHeight="false" outlineLevel="0" collapsed="false">
      <c r="A37" s="3" t="s">
        <v>210</v>
      </c>
      <c r="B37" s="3" t="s">
        <v>211</v>
      </c>
      <c r="C37" s="3" t="s">
        <v>57</v>
      </c>
      <c r="D37" s="3" t="s">
        <v>212</v>
      </c>
      <c r="E37" s="3"/>
      <c r="F37" s="3"/>
      <c r="G37" s="3"/>
      <c r="H37" s="3"/>
      <c r="I37" s="3"/>
      <c r="J37" s="3"/>
      <c r="K37" s="3"/>
      <c r="L37" s="3"/>
      <c r="M37" s="3"/>
    </row>
    <row r="38" customFormat="false" ht="15" hidden="false" customHeight="false" outlineLevel="0" collapsed="false">
      <c r="A38" s="3" t="s">
        <v>213</v>
      </c>
      <c r="B38" s="3" t="s">
        <v>214</v>
      </c>
      <c r="C38" s="3" t="s">
        <v>57</v>
      </c>
      <c r="D38" s="3" t="s">
        <v>215</v>
      </c>
      <c r="E38" s="3"/>
      <c r="F38" s="3"/>
      <c r="G38" s="3"/>
      <c r="H38" s="3"/>
      <c r="I38" s="3"/>
      <c r="J38" s="3"/>
      <c r="K38" s="3"/>
      <c r="L38" s="3"/>
      <c r="M38" s="3"/>
    </row>
    <row r="39" customFormat="false" ht="15" hidden="false" customHeight="false" outlineLevel="0" collapsed="false">
      <c r="A39" s="3" t="s">
        <v>216</v>
      </c>
      <c r="B39" s="3" t="s">
        <v>217</v>
      </c>
      <c r="C39" s="3" t="s">
        <v>57</v>
      </c>
      <c r="D39" s="3" t="s">
        <v>218</v>
      </c>
      <c r="E39" s="3"/>
      <c r="F39" s="3"/>
      <c r="G39" s="3"/>
      <c r="H39" s="3"/>
      <c r="I39" s="3"/>
      <c r="J39" s="3"/>
      <c r="K39" s="3"/>
      <c r="L39" s="3"/>
      <c r="M39" s="3"/>
    </row>
    <row r="40" customFormat="false" ht="15" hidden="false" customHeight="false" outlineLevel="0" collapsed="false">
      <c r="A40" s="3" t="s">
        <v>219</v>
      </c>
      <c r="B40" s="3" t="s">
        <v>220</v>
      </c>
      <c r="C40" s="3" t="s">
        <v>57</v>
      </c>
      <c r="D40" s="3" t="s">
        <v>221</v>
      </c>
      <c r="E40" s="3"/>
      <c r="F40" s="3"/>
      <c r="G40" s="3"/>
      <c r="H40" s="3"/>
      <c r="I40" s="3"/>
      <c r="J40" s="3"/>
      <c r="K40" s="3"/>
      <c r="L40" s="3"/>
      <c r="M40" s="3"/>
    </row>
    <row r="41" customFormat="false" ht="15" hidden="false" customHeight="false" outlineLevel="0" collapsed="false">
      <c r="A41" s="3" t="s">
        <v>222</v>
      </c>
      <c r="B41" s="3" t="s">
        <v>223</v>
      </c>
      <c r="C41" s="3" t="s">
        <v>57</v>
      </c>
      <c r="D41" s="3" t="s">
        <v>224</v>
      </c>
      <c r="E41" s="3"/>
      <c r="F41" s="3"/>
      <c r="G41" s="3"/>
      <c r="H41" s="3"/>
      <c r="I41" s="3"/>
      <c r="J41" s="3"/>
      <c r="K41" s="3"/>
      <c r="L41" s="3"/>
      <c r="M41" s="3"/>
    </row>
    <row r="42" customFormat="false" ht="15" hidden="false" customHeight="false" outlineLevel="0" collapsed="false">
      <c r="A42" s="3" t="s">
        <v>225</v>
      </c>
      <c r="B42" s="3" t="s">
        <v>226</v>
      </c>
      <c r="C42" s="3" t="s">
        <v>60</v>
      </c>
      <c r="D42" s="3" t="s">
        <v>227</v>
      </c>
      <c r="E42" s="3"/>
      <c r="F42" s="3"/>
      <c r="G42" s="3"/>
      <c r="H42" s="3"/>
      <c r="I42" s="3"/>
      <c r="J42" s="3"/>
      <c r="K42" s="3"/>
      <c r="L42" s="3"/>
      <c r="M42" s="3"/>
    </row>
    <row r="43" customFormat="false" ht="15" hidden="false" customHeight="false" outlineLevel="0" collapsed="false">
      <c r="A43" s="3" t="s">
        <v>228</v>
      </c>
      <c r="B43" s="3" t="s">
        <v>229</v>
      </c>
      <c r="C43" s="3" t="s">
        <v>60</v>
      </c>
      <c r="D43" s="3" t="s">
        <v>230</v>
      </c>
      <c r="E43" s="3"/>
      <c r="F43" s="3"/>
      <c r="G43" s="3"/>
      <c r="H43" s="3"/>
      <c r="I43" s="3"/>
      <c r="J43" s="3"/>
      <c r="K43" s="3"/>
      <c r="L43" s="3"/>
      <c r="M43" s="3"/>
    </row>
    <row r="44" customFormat="false" ht="15" hidden="false" customHeight="false" outlineLevel="0" collapsed="false">
      <c r="A44" s="3" t="s">
        <v>231</v>
      </c>
      <c r="B44" s="3" t="s">
        <v>232</v>
      </c>
      <c r="C44" s="3" t="s">
        <v>60</v>
      </c>
      <c r="D44" s="3" t="s">
        <v>233</v>
      </c>
      <c r="E44" s="3"/>
      <c r="F44" s="3"/>
      <c r="G44" s="3"/>
      <c r="H44" s="3"/>
      <c r="I44" s="3"/>
      <c r="J44" s="3"/>
      <c r="K44" s="3"/>
      <c r="L44" s="3"/>
      <c r="M44" s="3"/>
    </row>
    <row r="45" customFormat="false" ht="15" hidden="false" customHeight="false" outlineLevel="0" collapsed="false">
      <c r="A45" s="3" t="s">
        <v>234</v>
      </c>
      <c r="B45" s="3" t="s">
        <v>235</v>
      </c>
      <c r="C45" s="3" t="s">
        <v>60</v>
      </c>
      <c r="D45" s="3" t="s">
        <v>236</v>
      </c>
      <c r="E45" s="3"/>
      <c r="F45" s="3"/>
      <c r="G45" s="3"/>
      <c r="H45" s="3"/>
      <c r="I45" s="3"/>
      <c r="J45" s="3"/>
      <c r="K45" s="3"/>
      <c r="L45" s="3"/>
      <c r="M45" s="3"/>
    </row>
    <row r="46" customFormat="false" ht="15" hidden="false" customHeight="false" outlineLevel="0" collapsed="false">
      <c r="A46" s="3" t="s">
        <v>237</v>
      </c>
      <c r="B46" s="3" t="s">
        <v>238</v>
      </c>
      <c r="C46" s="3" t="s">
        <v>63</v>
      </c>
      <c r="D46" s="3" t="s">
        <v>239</v>
      </c>
      <c r="E46" s="3"/>
      <c r="F46" s="3"/>
      <c r="G46" s="3"/>
      <c r="H46" s="3"/>
      <c r="I46" s="3"/>
      <c r="J46" s="3"/>
      <c r="K46" s="3"/>
      <c r="L46" s="3"/>
      <c r="M46" s="3"/>
    </row>
    <row r="47" customFormat="false" ht="15" hidden="false" customHeight="false" outlineLevel="0" collapsed="false">
      <c r="A47" s="3" t="s">
        <v>240</v>
      </c>
      <c r="B47" s="3" t="s">
        <v>241</v>
      </c>
      <c r="C47" s="3" t="s">
        <v>63</v>
      </c>
      <c r="D47" s="3" t="s">
        <v>242</v>
      </c>
      <c r="E47" s="3"/>
      <c r="F47" s="3"/>
      <c r="G47" s="3"/>
      <c r="H47" s="3"/>
      <c r="I47" s="3"/>
      <c r="J47" s="3"/>
      <c r="K47" s="3"/>
      <c r="L47" s="3"/>
      <c r="M47" s="3"/>
    </row>
    <row r="48" customFormat="false" ht="15" hidden="false" customHeight="false" outlineLevel="0" collapsed="false">
      <c r="A48" s="3" t="s">
        <v>243</v>
      </c>
      <c r="B48" s="3" t="s">
        <v>244</v>
      </c>
      <c r="C48" s="3" t="s">
        <v>63</v>
      </c>
      <c r="D48" s="3" t="s">
        <v>245</v>
      </c>
      <c r="E48" s="3"/>
      <c r="F48" s="3"/>
      <c r="G48" s="3"/>
      <c r="H48" s="3"/>
      <c r="I48" s="3"/>
      <c r="J48" s="3"/>
      <c r="K48" s="3"/>
      <c r="L48" s="3"/>
      <c r="M48" s="3"/>
    </row>
    <row r="49" customFormat="false" ht="15" hidden="false" customHeight="false" outlineLevel="0" collapsed="false">
      <c r="A49" s="3" t="s">
        <v>246</v>
      </c>
      <c r="B49" s="3" t="s">
        <v>247</v>
      </c>
      <c r="C49" s="3" t="s">
        <v>63</v>
      </c>
      <c r="D49" s="3" t="s">
        <v>248</v>
      </c>
      <c r="E49" s="3"/>
      <c r="F49" s="3"/>
      <c r="G49" s="3"/>
      <c r="H49" s="3"/>
      <c r="I49" s="3"/>
      <c r="J49" s="3"/>
      <c r="K49" s="3"/>
      <c r="L49" s="3"/>
      <c r="M49" s="3"/>
    </row>
    <row r="50" customFormat="false" ht="15" hidden="false" customHeight="false" outlineLevel="0" collapsed="false">
      <c r="A50" s="3" t="s">
        <v>249</v>
      </c>
      <c r="B50" s="3" t="s">
        <v>250</v>
      </c>
      <c r="C50" s="3" t="s">
        <v>63</v>
      </c>
      <c r="D50" s="3" t="s">
        <v>251</v>
      </c>
      <c r="E50" s="3"/>
      <c r="F50" s="3"/>
      <c r="G50" s="3"/>
      <c r="H50" s="3"/>
      <c r="I50" s="3"/>
      <c r="J50" s="3"/>
      <c r="K50" s="3"/>
      <c r="L50" s="3"/>
      <c r="M50" s="3"/>
    </row>
    <row r="51" customFormat="false" ht="15" hidden="false" customHeight="false" outlineLevel="0" collapsed="false">
      <c r="A51" s="3" t="s">
        <v>252</v>
      </c>
      <c r="B51" s="3" t="s">
        <v>253</v>
      </c>
      <c r="C51" s="3" t="s">
        <v>63</v>
      </c>
      <c r="D51" s="3" t="s">
        <v>254</v>
      </c>
      <c r="E51" s="3"/>
      <c r="F51" s="3"/>
      <c r="G51" s="3"/>
      <c r="H51" s="3"/>
      <c r="I51" s="3"/>
      <c r="J51" s="3"/>
      <c r="K51" s="3"/>
      <c r="L51" s="3"/>
      <c r="M51" s="3"/>
    </row>
    <row r="52" customFormat="false" ht="15" hidden="false" customHeight="false" outlineLevel="0" collapsed="false">
      <c r="A52" s="3" t="s">
        <v>255</v>
      </c>
      <c r="B52" s="3" t="s">
        <v>256</v>
      </c>
      <c r="C52" s="3" t="s">
        <v>63</v>
      </c>
      <c r="D52" s="3" t="s">
        <v>257</v>
      </c>
      <c r="E52" s="3"/>
      <c r="F52" s="3"/>
      <c r="G52" s="3"/>
      <c r="H52" s="3"/>
      <c r="I52" s="3"/>
      <c r="J52" s="3"/>
      <c r="K52" s="3"/>
      <c r="L52" s="3"/>
      <c r="M52" s="3"/>
    </row>
    <row r="53" customFormat="false" ht="15" hidden="false" customHeight="false" outlineLevel="0" collapsed="false">
      <c r="A53" s="3" t="s">
        <v>258</v>
      </c>
      <c r="B53" s="3" t="s">
        <v>259</v>
      </c>
      <c r="C53" s="3" t="s">
        <v>63</v>
      </c>
      <c r="D53" s="3" t="s">
        <v>260</v>
      </c>
      <c r="E53" s="3"/>
      <c r="F53" s="3"/>
      <c r="G53" s="3"/>
      <c r="H53" s="3"/>
      <c r="I53" s="3"/>
      <c r="J53" s="3"/>
      <c r="K53" s="3"/>
      <c r="L53" s="3"/>
      <c r="M53" s="3"/>
    </row>
    <row r="54" customFormat="false" ht="15" hidden="false" customHeight="false" outlineLevel="0" collapsed="false">
      <c r="A54" s="3" t="s">
        <v>261</v>
      </c>
      <c r="B54" s="3" t="s">
        <v>262</v>
      </c>
      <c r="C54" s="3" t="s">
        <v>63</v>
      </c>
      <c r="D54" s="3" t="s">
        <v>263</v>
      </c>
      <c r="E54" s="3"/>
      <c r="F54" s="3"/>
      <c r="G54" s="3"/>
      <c r="H54" s="3"/>
      <c r="I54" s="3"/>
      <c r="J54" s="3"/>
      <c r="K54" s="3"/>
      <c r="L54" s="3"/>
      <c r="M54" s="3"/>
    </row>
    <row r="55" customFormat="false" ht="15" hidden="false" customHeight="false" outlineLevel="0" collapsed="false">
      <c r="A55" s="3" t="s">
        <v>264</v>
      </c>
      <c r="B55" s="3" t="s">
        <v>265</v>
      </c>
      <c r="C55" s="3" t="s">
        <v>63</v>
      </c>
      <c r="D55" s="3" t="s">
        <v>266</v>
      </c>
      <c r="E55" s="3"/>
      <c r="F55" s="3"/>
      <c r="G55" s="3"/>
      <c r="H55" s="3"/>
      <c r="I55" s="3"/>
      <c r="J55" s="3"/>
      <c r="K55" s="3"/>
      <c r="L55" s="3"/>
      <c r="M55" s="3"/>
    </row>
    <row r="56" customFormat="false" ht="15" hidden="false" customHeight="false" outlineLevel="0" collapsed="false">
      <c r="A56" s="3" t="s">
        <v>267</v>
      </c>
      <c r="B56" s="3" t="s">
        <v>268</v>
      </c>
      <c r="C56" s="3" t="s">
        <v>63</v>
      </c>
      <c r="D56" s="3" t="s">
        <v>269</v>
      </c>
      <c r="E56" s="3"/>
      <c r="F56" s="3"/>
      <c r="G56" s="3"/>
      <c r="H56" s="3"/>
      <c r="I56" s="3"/>
      <c r="J56" s="3"/>
      <c r="K56" s="3"/>
      <c r="L56" s="3"/>
      <c r="M56" s="3"/>
    </row>
    <row r="57" customFormat="false" ht="15" hidden="false" customHeight="false" outlineLevel="0" collapsed="false">
      <c r="A57" s="3" t="s">
        <v>270</v>
      </c>
      <c r="B57" s="3" t="s">
        <v>271</v>
      </c>
      <c r="C57" s="3" t="s">
        <v>63</v>
      </c>
      <c r="D57" s="3" t="s">
        <v>272</v>
      </c>
      <c r="E57" s="3"/>
      <c r="F57" s="3"/>
      <c r="G57" s="3"/>
      <c r="H57" s="3"/>
      <c r="I57" s="3"/>
      <c r="J57" s="3"/>
      <c r="K57" s="3"/>
      <c r="L57" s="3"/>
      <c r="M57" s="3"/>
    </row>
    <row r="58" customFormat="false" ht="15" hidden="false" customHeight="false" outlineLevel="0" collapsed="false">
      <c r="A58" s="3" t="s">
        <v>273</v>
      </c>
      <c r="B58" s="3" t="s">
        <v>274</v>
      </c>
      <c r="C58" s="3" t="s">
        <v>63</v>
      </c>
      <c r="D58" s="3" t="s">
        <v>275</v>
      </c>
      <c r="E58" s="3"/>
      <c r="F58" s="3"/>
      <c r="G58" s="3"/>
      <c r="H58" s="3"/>
      <c r="I58" s="3"/>
      <c r="J58" s="3"/>
      <c r="K58" s="3"/>
      <c r="L58" s="3"/>
      <c r="M58" s="3"/>
    </row>
    <row r="59" customFormat="false" ht="15" hidden="false" customHeight="false" outlineLevel="0" collapsed="false">
      <c r="A59" s="3" t="s">
        <v>276</v>
      </c>
      <c r="B59" s="3" t="s">
        <v>277</v>
      </c>
      <c r="C59" s="3" t="s">
        <v>63</v>
      </c>
      <c r="D59" s="3" t="s">
        <v>278</v>
      </c>
      <c r="E59" s="3"/>
      <c r="F59" s="3"/>
      <c r="G59" s="3"/>
      <c r="H59" s="3"/>
      <c r="I59" s="3"/>
      <c r="J59" s="3"/>
      <c r="K59" s="3"/>
      <c r="L59" s="3"/>
      <c r="M59" s="3"/>
    </row>
    <row r="60" customFormat="false" ht="15" hidden="false" customHeight="false" outlineLevel="0" collapsed="false">
      <c r="A60" s="3" t="s">
        <v>279</v>
      </c>
      <c r="B60" s="3" t="s">
        <v>280</v>
      </c>
      <c r="C60" s="3" t="s">
        <v>63</v>
      </c>
      <c r="D60" s="3" t="s">
        <v>281</v>
      </c>
      <c r="E60" s="3"/>
      <c r="F60" s="3"/>
      <c r="G60" s="3"/>
      <c r="H60" s="3"/>
      <c r="I60" s="3"/>
      <c r="J60" s="3"/>
      <c r="K60" s="3"/>
      <c r="L60" s="3"/>
      <c r="M60" s="3"/>
    </row>
    <row r="61" customFormat="false" ht="15" hidden="false" customHeight="false" outlineLevel="0" collapsed="false">
      <c r="A61" s="3" t="s">
        <v>282</v>
      </c>
      <c r="B61" s="3" t="s">
        <v>283</v>
      </c>
      <c r="C61" s="3" t="s">
        <v>63</v>
      </c>
      <c r="D61" s="3" t="s">
        <v>284</v>
      </c>
      <c r="E61" s="3"/>
      <c r="F61" s="3"/>
      <c r="G61" s="3"/>
      <c r="H61" s="3"/>
      <c r="I61" s="3"/>
      <c r="J61" s="3"/>
      <c r="K61" s="3"/>
      <c r="L61" s="3"/>
      <c r="M61" s="3"/>
    </row>
    <row r="62" customFormat="false" ht="15" hidden="false" customHeight="false" outlineLevel="0" collapsed="false">
      <c r="A62" s="3" t="s">
        <v>285</v>
      </c>
      <c r="B62" s="3" t="s">
        <v>286</v>
      </c>
      <c r="C62" s="3" t="s">
        <v>63</v>
      </c>
      <c r="D62" s="3" t="s">
        <v>287</v>
      </c>
      <c r="E62" s="3"/>
      <c r="F62" s="3"/>
      <c r="G62" s="3"/>
      <c r="H62" s="3"/>
      <c r="I62" s="3"/>
      <c r="J62" s="3"/>
      <c r="K62" s="3"/>
      <c r="L62" s="3"/>
      <c r="M62" s="3"/>
    </row>
    <row r="63" customFormat="false" ht="15" hidden="false" customHeight="false" outlineLevel="0" collapsed="false">
      <c r="A63" s="3" t="s">
        <v>288</v>
      </c>
      <c r="B63" s="3" t="s">
        <v>289</v>
      </c>
      <c r="C63" s="3" t="s">
        <v>63</v>
      </c>
      <c r="D63" s="3" t="s">
        <v>290</v>
      </c>
      <c r="E63" s="3"/>
      <c r="F63" s="3"/>
      <c r="G63" s="3"/>
      <c r="H63" s="3"/>
      <c r="I63" s="3"/>
      <c r="J63" s="3"/>
      <c r="K63" s="3"/>
      <c r="L63" s="3"/>
      <c r="M63" s="3"/>
    </row>
    <row r="64" customFormat="false" ht="15" hidden="false" customHeight="false" outlineLevel="0" collapsed="false">
      <c r="A64" s="3" t="s">
        <v>291</v>
      </c>
      <c r="B64" s="3" t="s">
        <v>292</v>
      </c>
      <c r="C64" s="3" t="s">
        <v>66</v>
      </c>
      <c r="D64" s="3" t="s">
        <v>293</v>
      </c>
      <c r="E64" s="3"/>
      <c r="F64" s="3"/>
      <c r="G64" s="3"/>
      <c r="H64" s="3"/>
      <c r="I64" s="3"/>
      <c r="J64" s="3"/>
      <c r="K64" s="3"/>
      <c r="L64" s="3"/>
      <c r="M64" s="3"/>
    </row>
    <row r="65" customFormat="false" ht="15" hidden="false" customHeight="false" outlineLevel="0" collapsed="false">
      <c r="A65" s="3" t="s">
        <v>294</v>
      </c>
      <c r="B65" s="3" t="s">
        <v>295</v>
      </c>
      <c r="C65" s="3" t="s">
        <v>66</v>
      </c>
      <c r="D65" s="3" t="s">
        <v>296</v>
      </c>
      <c r="E65" s="3"/>
      <c r="F65" s="3"/>
      <c r="G65" s="3"/>
      <c r="H65" s="3"/>
      <c r="I65" s="3"/>
      <c r="J65" s="3"/>
      <c r="K65" s="3"/>
      <c r="L65" s="3"/>
      <c r="M65" s="3"/>
    </row>
    <row r="66" customFormat="false" ht="15" hidden="false" customHeight="false" outlineLevel="0" collapsed="false">
      <c r="A66" s="3" t="s">
        <v>297</v>
      </c>
      <c r="B66" s="3" t="s">
        <v>298</v>
      </c>
      <c r="C66" s="3" t="s">
        <v>66</v>
      </c>
      <c r="D66" s="3" t="s">
        <v>299</v>
      </c>
      <c r="E66" s="3"/>
      <c r="F66" s="3"/>
      <c r="G66" s="3"/>
      <c r="H66" s="3"/>
      <c r="I66" s="3"/>
      <c r="J66" s="3"/>
      <c r="K66" s="3"/>
      <c r="L66" s="3"/>
      <c r="M66" s="3"/>
    </row>
    <row r="67" customFormat="false" ht="15" hidden="false" customHeight="false" outlineLevel="0" collapsed="false">
      <c r="A67" s="3" t="s">
        <v>300</v>
      </c>
      <c r="B67" s="3" t="s">
        <v>301</v>
      </c>
      <c r="C67" s="3" t="s">
        <v>66</v>
      </c>
      <c r="D67" s="3" t="s">
        <v>302</v>
      </c>
      <c r="E67" s="3"/>
      <c r="F67" s="3"/>
      <c r="G67" s="3"/>
      <c r="H67" s="3"/>
      <c r="I67" s="3"/>
      <c r="J67" s="3"/>
      <c r="K67" s="3"/>
      <c r="L67" s="3"/>
      <c r="M67" s="3"/>
    </row>
    <row r="68" customFormat="false" ht="15" hidden="false" customHeight="false" outlineLevel="0" collapsed="false">
      <c r="A68" s="3" t="s">
        <v>303</v>
      </c>
      <c r="B68" s="3" t="s">
        <v>304</v>
      </c>
      <c r="C68" s="3" t="s">
        <v>66</v>
      </c>
      <c r="D68" s="3" t="s">
        <v>305</v>
      </c>
      <c r="E68" s="3"/>
      <c r="F68" s="3"/>
      <c r="G68" s="3"/>
      <c r="H68" s="3"/>
      <c r="I68" s="3"/>
      <c r="J68" s="3"/>
      <c r="K68" s="3"/>
      <c r="L68" s="3"/>
      <c r="M68" s="3"/>
    </row>
    <row r="69" customFormat="false" ht="15" hidden="false" customHeight="false" outlineLevel="0" collapsed="false">
      <c r="A69" s="3" t="s">
        <v>306</v>
      </c>
      <c r="B69" s="3" t="s">
        <v>307</v>
      </c>
      <c r="C69" s="3" t="s">
        <v>66</v>
      </c>
      <c r="D69" s="3" t="s">
        <v>308</v>
      </c>
      <c r="E69" s="3"/>
      <c r="F69" s="3"/>
      <c r="G69" s="3"/>
      <c r="H69" s="3"/>
      <c r="I69" s="3"/>
      <c r="J69" s="3"/>
      <c r="K69" s="3"/>
      <c r="L69" s="3"/>
      <c r="M69" s="3"/>
    </row>
    <row r="70" customFormat="false" ht="15" hidden="false" customHeight="false" outlineLevel="0" collapsed="false">
      <c r="A70" s="3" t="s">
        <v>309</v>
      </c>
      <c r="B70" s="3" t="s">
        <v>310</v>
      </c>
      <c r="C70" s="3" t="s">
        <v>66</v>
      </c>
      <c r="D70" s="3" t="s">
        <v>311</v>
      </c>
      <c r="E70" s="3"/>
      <c r="F70" s="3"/>
      <c r="G70" s="3"/>
      <c r="H70" s="3"/>
      <c r="I70" s="3"/>
      <c r="J70" s="3"/>
      <c r="K70" s="3"/>
      <c r="L70" s="3"/>
      <c r="M70" s="3"/>
    </row>
    <row r="71" customFormat="false" ht="15" hidden="false" customHeight="false" outlineLevel="0" collapsed="false">
      <c r="A71" s="3" t="s">
        <v>312</v>
      </c>
      <c r="B71" s="3" t="s">
        <v>313</v>
      </c>
      <c r="C71" s="3" t="s">
        <v>66</v>
      </c>
      <c r="D71" s="3" t="s">
        <v>314</v>
      </c>
      <c r="E71" s="3"/>
      <c r="F71" s="3"/>
      <c r="G71" s="3"/>
      <c r="H71" s="3"/>
      <c r="I71" s="3"/>
      <c r="J71" s="3"/>
      <c r="K71" s="3"/>
      <c r="L71" s="3"/>
      <c r="M71" s="3"/>
    </row>
    <row r="72" customFormat="false" ht="15" hidden="false" customHeight="false" outlineLevel="0" collapsed="false">
      <c r="A72" s="3" t="s">
        <v>315</v>
      </c>
      <c r="B72" s="3" t="s">
        <v>316</v>
      </c>
      <c r="C72" s="3" t="s">
        <v>69</v>
      </c>
      <c r="D72" s="3" t="s">
        <v>317</v>
      </c>
      <c r="E72" s="3"/>
      <c r="F72" s="3"/>
      <c r="G72" s="3"/>
      <c r="H72" s="3"/>
      <c r="I72" s="3"/>
      <c r="J72" s="3"/>
      <c r="K72" s="3"/>
      <c r="L72" s="3"/>
      <c r="M72" s="3"/>
    </row>
    <row r="73" customFormat="false" ht="15" hidden="false" customHeight="false" outlineLevel="0" collapsed="false">
      <c r="A73" s="3" t="s">
        <v>318</v>
      </c>
      <c r="B73" s="3" t="s">
        <v>319</v>
      </c>
      <c r="C73" s="3" t="s">
        <v>69</v>
      </c>
      <c r="D73" s="3" t="s">
        <v>320</v>
      </c>
      <c r="E73" s="3"/>
      <c r="F73" s="3"/>
      <c r="G73" s="3"/>
      <c r="H73" s="3"/>
      <c r="I73" s="3"/>
      <c r="J73" s="3"/>
      <c r="K73" s="3"/>
      <c r="L73" s="3"/>
      <c r="M73" s="3"/>
    </row>
    <row r="74" customFormat="false" ht="15" hidden="false" customHeight="false" outlineLevel="0" collapsed="false">
      <c r="A74" s="3" t="s">
        <v>321</v>
      </c>
      <c r="B74" s="3" t="s">
        <v>322</v>
      </c>
      <c r="C74" s="3" t="s">
        <v>69</v>
      </c>
      <c r="D74" s="3" t="s">
        <v>323</v>
      </c>
      <c r="E74" s="3"/>
      <c r="F74" s="3"/>
      <c r="G74" s="3"/>
      <c r="H74" s="3"/>
      <c r="I74" s="3"/>
      <c r="J74" s="3"/>
      <c r="K74" s="3"/>
      <c r="L74" s="3"/>
      <c r="M74" s="3"/>
    </row>
    <row r="75" customFormat="false" ht="15" hidden="false" customHeight="false" outlineLevel="0" collapsed="false">
      <c r="A75" s="3" t="s">
        <v>324</v>
      </c>
      <c r="B75" s="3" t="s">
        <v>325</v>
      </c>
      <c r="C75" s="3" t="s">
        <v>69</v>
      </c>
      <c r="D75" s="3" t="s">
        <v>326</v>
      </c>
      <c r="E75" s="3"/>
      <c r="F75" s="3"/>
      <c r="G75" s="3"/>
      <c r="H75" s="3"/>
      <c r="I75" s="3"/>
      <c r="J75" s="3"/>
      <c r="K75" s="3"/>
      <c r="L75" s="3"/>
      <c r="M75" s="3"/>
    </row>
    <row r="76" customFormat="false" ht="15" hidden="false" customHeight="false" outlineLevel="0" collapsed="false">
      <c r="A76" s="3" t="s">
        <v>327</v>
      </c>
      <c r="B76" s="3" t="s">
        <v>328</v>
      </c>
      <c r="C76" s="3" t="s">
        <v>72</v>
      </c>
      <c r="D76" s="3" t="s">
        <v>329</v>
      </c>
      <c r="E76" s="3"/>
      <c r="F76" s="3"/>
      <c r="G76" s="3"/>
      <c r="H76" s="3"/>
      <c r="I76" s="3"/>
      <c r="J76" s="3"/>
      <c r="K76" s="3"/>
      <c r="L76" s="3"/>
      <c r="M76" s="3"/>
    </row>
    <row r="77" customFormat="false" ht="15" hidden="false" customHeight="false" outlineLevel="0" collapsed="false">
      <c r="A77" s="3" t="s">
        <v>330</v>
      </c>
      <c r="B77" s="3" t="s">
        <v>331</v>
      </c>
      <c r="C77" s="3" t="s">
        <v>72</v>
      </c>
      <c r="D77" s="3" t="s">
        <v>332</v>
      </c>
      <c r="E77" s="3"/>
      <c r="F77" s="3"/>
      <c r="G77" s="3"/>
      <c r="H77" s="3"/>
      <c r="I77" s="3"/>
      <c r="J77" s="3"/>
      <c r="K77" s="3"/>
      <c r="L77" s="3"/>
      <c r="M77" s="3"/>
    </row>
    <row r="78" customFormat="false" ht="15" hidden="false" customHeight="false" outlineLevel="0" collapsed="false">
      <c r="A78" s="3" t="s">
        <v>333</v>
      </c>
      <c r="B78" s="3" t="s">
        <v>334</v>
      </c>
      <c r="C78" s="3" t="s">
        <v>72</v>
      </c>
      <c r="D78" s="3" t="s">
        <v>335</v>
      </c>
      <c r="E78" s="3"/>
      <c r="F78" s="3"/>
      <c r="G78" s="3"/>
      <c r="H78" s="3"/>
      <c r="I78" s="3"/>
      <c r="J78" s="3"/>
      <c r="K78" s="3"/>
      <c r="L78" s="3"/>
      <c r="M78" s="3"/>
    </row>
    <row r="79" customFormat="false" ht="15" hidden="false" customHeight="false" outlineLevel="0" collapsed="false">
      <c r="A79" s="3" t="s">
        <v>336</v>
      </c>
      <c r="B79" s="3" t="s">
        <v>337</v>
      </c>
      <c r="C79" s="3" t="s">
        <v>72</v>
      </c>
      <c r="D79" s="3" t="s">
        <v>338</v>
      </c>
      <c r="E79" s="3"/>
      <c r="F79" s="3"/>
      <c r="G79" s="3"/>
      <c r="H79" s="3"/>
      <c r="I79" s="3"/>
      <c r="J79" s="3"/>
      <c r="K79" s="3"/>
      <c r="L79" s="3"/>
      <c r="M79" s="3"/>
    </row>
    <row r="80" customFormat="false" ht="15" hidden="false" customHeight="false" outlineLevel="0" collapsed="false">
      <c r="A80" s="3" t="s">
        <v>339</v>
      </c>
      <c r="B80" s="3" t="s">
        <v>340</v>
      </c>
      <c r="C80" s="3" t="s">
        <v>72</v>
      </c>
      <c r="D80" s="3" t="s">
        <v>341</v>
      </c>
      <c r="E80" s="3"/>
      <c r="F80" s="3"/>
      <c r="G80" s="3"/>
      <c r="H80" s="3"/>
      <c r="I80" s="3"/>
      <c r="J80" s="3"/>
      <c r="K80" s="3"/>
      <c r="L80" s="3"/>
      <c r="M80" s="3"/>
    </row>
    <row r="81" customFormat="false" ht="15" hidden="false" customHeight="false" outlineLevel="0" collapsed="false">
      <c r="A81" s="3" t="s">
        <v>342</v>
      </c>
      <c r="B81" s="3" t="s">
        <v>343</v>
      </c>
      <c r="C81" s="3" t="s">
        <v>72</v>
      </c>
      <c r="D81" s="3" t="s">
        <v>344</v>
      </c>
      <c r="E81" s="3"/>
      <c r="F81" s="3"/>
      <c r="G81" s="3"/>
      <c r="H81" s="3"/>
      <c r="I81" s="3"/>
      <c r="J81" s="3"/>
      <c r="K81" s="3"/>
      <c r="L81" s="3"/>
      <c r="M81" s="3"/>
    </row>
    <row r="82" customFormat="false" ht="15" hidden="false" customHeight="false" outlineLevel="0" collapsed="false">
      <c r="A82" s="3" t="s">
        <v>345</v>
      </c>
      <c r="B82" s="3" t="s">
        <v>346</v>
      </c>
      <c r="C82" s="3" t="s">
        <v>72</v>
      </c>
      <c r="D82" s="3" t="s">
        <v>347</v>
      </c>
      <c r="E82" s="3"/>
      <c r="F82" s="3"/>
      <c r="G82" s="3"/>
      <c r="H82" s="3"/>
      <c r="I82" s="3"/>
      <c r="J82" s="3"/>
      <c r="K82" s="3"/>
      <c r="L82" s="3"/>
      <c r="M82" s="3"/>
    </row>
    <row r="83" customFormat="false" ht="23.85" hidden="false" customHeight="false" outlineLevel="0" collapsed="false">
      <c r="A83" s="3" t="s">
        <v>348</v>
      </c>
      <c r="B83" s="3" t="s">
        <v>349</v>
      </c>
      <c r="C83" s="3" t="s">
        <v>72</v>
      </c>
      <c r="D83" s="3" t="s">
        <v>350</v>
      </c>
      <c r="E83" s="3"/>
      <c r="F83" s="3"/>
      <c r="G83" s="3"/>
      <c r="H83" s="3"/>
      <c r="I83" s="3"/>
      <c r="J83" s="3"/>
      <c r="K83" s="3"/>
      <c r="L83" s="3"/>
      <c r="M83" s="3"/>
    </row>
    <row r="84" customFormat="false" ht="15" hidden="false" customHeight="false" outlineLevel="0" collapsed="false">
      <c r="A84" s="3" t="s">
        <v>351</v>
      </c>
      <c r="B84" s="3" t="s">
        <v>352</v>
      </c>
      <c r="C84" s="3" t="s">
        <v>72</v>
      </c>
      <c r="D84" s="3" t="s">
        <v>353</v>
      </c>
      <c r="E84" s="3"/>
      <c r="F84" s="3"/>
      <c r="G84" s="3"/>
      <c r="H84" s="3"/>
      <c r="I84" s="3"/>
      <c r="J84" s="3"/>
      <c r="K84" s="3"/>
      <c r="L84" s="3"/>
      <c r="M84" s="3"/>
    </row>
    <row r="85" customFormat="false" ht="15" hidden="false" customHeight="false" outlineLevel="0" collapsed="false">
      <c r="A85" s="3" t="s">
        <v>354</v>
      </c>
      <c r="B85" s="3" t="s">
        <v>355</v>
      </c>
      <c r="C85" s="3" t="s">
        <v>75</v>
      </c>
      <c r="D85" s="3" t="s">
        <v>356</v>
      </c>
      <c r="E85" s="3"/>
      <c r="F85" s="3"/>
      <c r="G85" s="3"/>
      <c r="H85" s="3"/>
      <c r="I85" s="3"/>
      <c r="J85" s="3"/>
      <c r="K85" s="3"/>
      <c r="L85" s="3"/>
      <c r="M85" s="3"/>
    </row>
    <row r="86" customFormat="false" ht="15" hidden="false" customHeight="false" outlineLevel="0" collapsed="false">
      <c r="A86" s="3" t="s">
        <v>357</v>
      </c>
      <c r="B86" s="3" t="s">
        <v>358</v>
      </c>
      <c r="C86" s="3" t="s">
        <v>75</v>
      </c>
      <c r="D86" s="3" t="s">
        <v>359</v>
      </c>
      <c r="E86" s="3"/>
      <c r="F86" s="3"/>
      <c r="G86" s="3"/>
      <c r="H86" s="3"/>
      <c r="I86" s="3"/>
      <c r="J86" s="3"/>
      <c r="K86" s="3"/>
      <c r="L86" s="3"/>
      <c r="M86" s="3"/>
    </row>
    <row r="87" customFormat="false" ht="15" hidden="false" customHeight="false" outlineLevel="0" collapsed="false">
      <c r="A87" s="3" t="s">
        <v>360</v>
      </c>
      <c r="B87" s="3" t="s">
        <v>361</v>
      </c>
      <c r="C87" s="3" t="s">
        <v>75</v>
      </c>
      <c r="D87" s="3" t="s">
        <v>362</v>
      </c>
      <c r="E87" s="3"/>
      <c r="F87" s="3"/>
      <c r="G87" s="3"/>
      <c r="H87" s="3"/>
      <c r="I87" s="3"/>
      <c r="J87" s="3"/>
      <c r="K87" s="3"/>
      <c r="L87" s="3"/>
      <c r="M87" s="3"/>
    </row>
    <row r="88" customFormat="false" ht="15" hidden="false" customHeight="false" outlineLevel="0" collapsed="false">
      <c r="A88" s="3" t="s">
        <v>363</v>
      </c>
      <c r="B88" s="3" t="s">
        <v>364</v>
      </c>
      <c r="C88" s="3" t="s">
        <v>75</v>
      </c>
      <c r="D88" s="3" t="s">
        <v>365</v>
      </c>
      <c r="E88" s="3"/>
      <c r="F88" s="3"/>
      <c r="G88" s="3"/>
      <c r="H88" s="3"/>
      <c r="I88" s="3"/>
      <c r="J88" s="3"/>
      <c r="K88" s="3"/>
      <c r="L88" s="3"/>
      <c r="M88" s="3"/>
    </row>
    <row r="89" customFormat="false" ht="15" hidden="false" customHeight="false" outlineLevel="0" collapsed="false">
      <c r="A89" s="3" t="s">
        <v>366</v>
      </c>
      <c r="B89" s="3" t="s">
        <v>367</v>
      </c>
      <c r="C89" s="3" t="s">
        <v>75</v>
      </c>
      <c r="D89" s="3" t="s">
        <v>368</v>
      </c>
      <c r="E89" s="3"/>
      <c r="F89" s="3"/>
      <c r="G89" s="3"/>
      <c r="H89" s="3"/>
      <c r="I89" s="3"/>
      <c r="J89" s="3"/>
      <c r="K89" s="3"/>
      <c r="L89" s="3"/>
      <c r="M89" s="3"/>
    </row>
    <row r="90" customFormat="false" ht="15" hidden="false" customHeight="false" outlineLevel="0" collapsed="false">
      <c r="A90" s="3" t="s">
        <v>369</v>
      </c>
      <c r="B90" s="3" t="s">
        <v>370</v>
      </c>
      <c r="C90" s="3" t="s">
        <v>75</v>
      </c>
      <c r="D90" s="3" t="s">
        <v>371</v>
      </c>
      <c r="E90" s="3"/>
      <c r="F90" s="3"/>
      <c r="G90" s="3"/>
      <c r="H90" s="3"/>
      <c r="I90" s="3"/>
      <c r="J90" s="3"/>
      <c r="K90" s="3"/>
      <c r="L90" s="3"/>
      <c r="M90" s="3"/>
    </row>
    <row r="91" customFormat="false" ht="15" hidden="false" customHeight="false" outlineLevel="0" collapsed="false">
      <c r="A91" s="3" t="s">
        <v>372</v>
      </c>
      <c r="B91" s="3" t="s">
        <v>373</v>
      </c>
      <c r="C91" s="3" t="s">
        <v>75</v>
      </c>
      <c r="D91" s="3" t="s">
        <v>374</v>
      </c>
      <c r="E91" s="3"/>
      <c r="F91" s="3"/>
      <c r="G91" s="3"/>
      <c r="H91" s="3"/>
      <c r="I91" s="3"/>
      <c r="J91" s="3"/>
      <c r="K91" s="3"/>
      <c r="L91" s="3"/>
      <c r="M91" s="3"/>
    </row>
    <row r="92" customFormat="false" ht="15" hidden="false" customHeight="false" outlineLevel="0" collapsed="false">
      <c r="A92" s="3" t="s">
        <v>375</v>
      </c>
      <c r="B92" s="3" t="s">
        <v>376</v>
      </c>
      <c r="C92" s="3" t="s">
        <v>75</v>
      </c>
      <c r="D92" s="3" t="s">
        <v>377</v>
      </c>
      <c r="E92" s="3"/>
      <c r="F92" s="3"/>
      <c r="G92" s="3"/>
      <c r="H92" s="3"/>
      <c r="I92" s="3"/>
      <c r="J92" s="3"/>
      <c r="K92" s="3"/>
      <c r="L92" s="3"/>
      <c r="M92" s="3"/>
    </row>
    <row r="93" customFormat="false" ht="23.85" hidden="false" customHeight="false" outlineLevel="0" collapsed="false">
      <c r="A93" s="3" t="s">
        <v>378</v>
      </c>
      <c r="B93" s="3" t="s">
        <v>379</v>
      </c>
      <c r="C93" s="3" t="s">
        <v>75</v>
      </c>
      <c r="D93" s="3" t="s">
        <v>380</v>
      </c>
      <c r="E93" s="3"/>
      <c r="F93" s="3"/>
      <c r="G93" s="3"/>
      <c r="H93" s="3"/>
      <c r="I93" s="3"/>
      <c r="J93" s="3"/>
      <c r="K93" s="3"/>
      <c r="L93" s="3"/>
      <c r="M93" s="3"/>
    </row>
    <row r="94" customFormat="false" ht="15" hidden="false" customHeight="false" outlineLevel="0" collapsed="false">
      <c r="A94" s="3" t="s">
        <v>381</v>
      </c>
      <c r="B94" s="3" t="s">
        <v>382</v>
      </c>
      <c r="C94" s="3" t="s">
        <v>75</v>
      </c>
      <c r="D94" s="3" t="s">
        <v>383</v>
      </c>
      <c r="E94" s="3"/>
      <c r="F94" s="3"/>
      <c r="G94" s="3"/>
      <c r="H94" s="3"/>
      <c r="I94" s="3"/>
      <c r="J94" s="3"/>
      <c r="K94" s="3"/>
      <c r="L94" s="3"/>
      <c r="M94" s="3"/>
    </row>
    <row r="95" customFormat="false" ht="15" hidden="false" customHeight="false" outlineLevel="0" collapsed="false">
      <c r="A95" s="3" t="s">
        <v>384</v>
      </c>
      <c r="B95" s="3" t="s">
        <v>385</v>
      </c>
      <c r="C95" s="3" t="s">
        <v>75</v>
      </c>
      <c r="D95" s="3" t="s">
        <v>386</v>
      </c>
      <c r="E95" s="3"/>
      <c r="F95" s="3"/>
      <c r="G95" s="3"/>
      <c r="H95" s="3"/>
      <c r="I95" s="3"/>
      <c r="J95" s="3"/>
      <c r="K95" s="3"/>
      <c r="L95" s="3"/>
      <c r="M95" s="3"/>
    </row>
    <row r="96" customFormat="false" ht="23.85" hidden="false" customHeight="false" outlineLevel="0" collapsed="false">
      <c r="A96" s="3" t="s">
        <v>387</v>
      </c>
      <c r="B96" s="3" t="s">
        <v>388</v>
      </c>
      <c r="C96" s="3" t="s">
        <v>75</v>
      </c>
      <c r="D96" s="3" t="s">
        <v>389</v>
      </c>
      <c r="E96" s="3"/>
      <c r="F96" s="3"/>
      <c r="G96" s="3"/>
      <c r="H96" s="3"/>
      <c r="I96" s="3"/>
      <c r="J96" s="3"/>
      <c r="K96" s="3"/>
      <c r="L96" s="3"/>
      <c r="M96" s="3"/>
    </row>
    <row r="97" customFormat="false" ht="15" hidden="false" customHeight="false" outlineLevel="0" collapsed="false">
      <c r="A97" s="3" t="s">
        <v>390</v>
      </c>
      <c r="B97" s="3" t="s">
        <v>391</v>
      </c>
      <c r="C97" s="3" t="s">
        <v>75</v>
      </c>
      <c r="D97" s="3" t="s">
        <v>392</v>
      </c>
      <c r="E97" s="3"/>
      <c r="F97" s="3"/>
      <c r="G97" s="3"/>
      <c r="H97" s="3"/>
      <c r="I97" s="3"/>
      <c r="J97" s="3"/>
      <c r="K97" s="3"/>
      <c r="L97" s="3"/>
      <c r="M97" s="3"/>
    </row>
    <row r="98" customFormat="false" ht="15" hidden="false" customHeight="false" outlineLevel="0" collapsed="false">
      <c r="A98" s="3" t="s">
        <v>393</v>
      </c>
      <c r="B98" s="3" t="s">
        <v>394</v>
      </c>
      <c r="C98" s="3" t="s">
        <v>75</v>
      </c>
      <c r="D98" s="3" t="s">
        <v>395</v>
      </c>
      <c r="E98" s="3"/>
      <c r="F98" s="3"/>
      <c r="G98" s="3"/>
      <c r="H98" s="3"/>
      <c r="I98" s="3"/>
      <c r="J98" s="3"/>
      <c r="K98" s="3"/>
      <c r="L98" s="3"/>
      <c r="M98" s="3"/>
    </row>
    <row r="99" customFormat="false" ht="15" hidden="false" customHeight="false" outlineLevel="0" collapsed="false">
      <c r="A99" s="3" t="s">
        <v>396</v>
      </c>
      <c r="B99" s="3" t="s">
        <v>397</v>
      </c>
      <c r="C99" s="3" t="s">
        <v>75</v>
      </c>
      <c r="D99" s="3" t="s">
        <v>398</v>
      </c>
      <c r="E99" s="3"/>
      <c r="F99" s="3"/>
      <c r="G99" s="3"/>
      <c r="H99" s="3"/>
      <c r="I99" s="3"/>
      <c r="J99" s="3"/>
      <c r="K99" s="3"/>
      <c r="L99" s="3"/>
      <c r="M99" s="3"/>
    </row>
    <row r="100" customFormat="false" ht="15" hidden="false" customHeight="false" outlineLevel="0" collapsed="false">
      <c r="A100" s="3" t="s">
        <v>399</v>
      </c>
      <c r="B100" s="3" t="s">
        <v>400</v>
      </c>
      <c r="C100" s="3" t="s">
        <v>75</v>
      </c>
      <c r="D100" s="3" t="s">
        <v>401</v>
      </c>
      <c r="E100" s="3"/>
      <c r="F100" s="3"/>
      <c r="G100" s="3"/>
      <c r="H100" s="3"/>
      <c r="I100" s="3"/>
      <c r="J100" s="3"/>
      <c r="K100" s="3"/>
      <c r="L100" s="3"/>
      <c r="M100" s="3"/>
    </row>
    <row r="101" customFormat="false" ht="15" hidden="false" customHeight="false" outlineLevel="0" collapsed="false">
      <c r="A101" s="3" t="s">
        <v>402</v>
      </c>
      <c r="B101" s="3" t="s">
        <v>403</v>
      </c>
      <c r="C101" s="3" t="s">
        <v>75</v>
      </c>
      <c r="D101" s="3" t="s">
        <v>404</v>
      </c>
      <c r="E101" s="3"/>
      <c r="F101" s="3"/>
      <c r="G101" s="3"/>
      <c r="H101" s="3"/>
      <c r="I101" s="3"/>
      <c r="J101" s="3"/>
      <c r="K101" s="3"/>
      <c r="L101" s="3"/>
      <c r="M101" s="3"/>
    </row>
    <row r="102" customFormat="false" ht="15" hidden="false" customHeight="false" outlineLevel="0" collapsed="false">
      <c r="A102" s="3" t="s">
        <v>405</v>
      </c>
      <c r="B102" s="3" t="s">
        <v>406</v>
      </c>
      <c r="C102" s="3" t="s">
        <v>75</v>
      </c>
      <c r="D102" s="3" t="s">
        <v>407</v>
      </c>
      <c r="E102" s="3"/>
      <c r="F102" s="3"/>
      <c r="G102" s="3"/>
      <c r="H102" s="3"/>
      <c r="I102" s="3"/>
      <c r="J102" s="3"/>
      <c r="K102" s="3"/>
      <c r="L102" s="3"/>
      <c r="M102" s="3"/>
    </row>
    <row r="103" customFormat="false" ht="15" hidden="false" customHeight="false" outlineLevel="0" collapsed="false">
      <c r="A103" s="3" t="s">
        <v>408</v>
      </c>
      <c r="B103" s="3" t="s">
        <v>409</v>
      </c>
      <c r="C103" s="3" t="s">
        <v>78</v>
      </c>
      <c r="D103" s="3" t="s">
        <v>410</v>
      </c>
      <c r="E103" s="3"/>
      <c r="F103" s="3"/>
      <c r="G103" s="3"/>
      <c r="H103" s="3"/>
      <c r="I103" s="3"/>
      <c r="J103" s="3"/>
      <c r="K103" s="3"/>
      <c r="L103" s="3"/>
      <c r="M103" s="3"/>
    </row>
    <row r="104" customFormat="false" ht="15" hidden="false" customHeight="false" outlineLevel="0" collapsed="false">
      <c r="A104" s="3" t="s">
        <v>411</v>
      </c>
      <c r="B104" s="3" t="s">
        <v>412</v>
      </c>
      <c r="C104" s="3" t="s">
        <v>78</v>
      </c>
      <c r="D104" s="3" t="s">
        <v>413</v>
      </c>
      <c r="E104" s="3"/>
      <c r="F104" s="3"/>
      <c r="G104" s="3"/>
      <c r="H104" s="3"/>
      <c r="I104" s="3"/>
      <c r="J104" s="3"/>
      <c r="K104" s="3"/>
      <c r="L104" s="3"/>
      <c r="M104" s="3"/>
    </row>
    <row r="105" customFormat="false" ht="15" hidden="false" customHeight="false" outlineLevel="0" collapsed="false">
      <c r="A105" s="3" t="s">
        <v>414</v>
      </c>
      <c r="B105" s="3" t="s">
        <v>415</v>
      </c>
      <c r="C105" s="3" t="s">
        <v>78</v>
      </c>
      <c r="D105" s="3" t="s">
        <v>416</v>
      </c>
      <c r="E105" s="3"/>
      <c r="F105" s="3"/>
      <c r="G105" s="3"/>
      <c r="H105" s="3"/>
      <c r="I105" s="3"/>
      <c r="J105" s="3"/>
      <c r="K105" s="3"/>
      <c r="L105" s="3"/>
      <c r="M105" s="3"/>
    </row>
    <row r="106" customFormat="false" ht="15" hidden="false" customHeight="false" outlineLevel="0" collapsed="false">
      <c r="A106" s="3" t="s">
        <v>417</v>
      </c>
      <c r="B106" s="3" t="s">
        <v>418</v>
      </c>
      <c r="C106" s="3" t="s">
        <v>78</v>
      </c>
      <c r="D106" s="3" t="s">
        <v>419</v>
      </c>
      <c r="E106" s="3"/>
      <c r="F106" s="3"/>
      <c r="G106" s="3"/>
      <c r="H106" s="3"/>
      <c r="I106" s="3"/>
      <c r="J106" s="3"/>
      <c r="K106" s="3"/>
      <c r="L106" s="3"/>
      <c r="M106" s="3"/>
    </row>
    <row r="107" customFormat="false" ht="15" hidden="false" customHeight="false" outlineLevel="0" collapsed="false">
      <c r="A107" s="3" t="s">
        <v>420</v>
      </c>
      <c r="B107" s="3" t="s">
        <v>421</v>
      </c>
      <c r="C107" s="3" t="s">
        <v>78</v>
      </c>
      <c r="D107" s="3" t="s">
        <v>422</v>
      </c>
      <c r="E107" s="3"/>
      <c r="F107" s="3"/>
      <c r="G107" s="3"/>
      <c r="H107" s="3"/>
      <c r="I107" s="3"/>
      <c r="J107" s="3"/>
      <c r="K107" s="3"/>
      <c r="L107" s="3"/>
      <c r="M107" s="3"/>
    </row>
    <row r="108" customFormat="false" ht="15" hidden="false" customHeight="false" outlineLevel="0" collapsed="false">
      <c r="A108" s="3" t="s">
        <v>423</v>
      </c>
      <c r="B108" s="3" t="s">
        <v>424</v>
      </c>
      <c r="C108" s="3" t="s">
        <v>78</v>
      </c>
      <c r="D108" s="3" t="s">
        <v>425</v>
      </c>
      <c r="E108" s="3"/>
      <c r="F108" s="3"/>
      <c r="G108" s="3"/>
      <c r="H108" s="3"/>
      <c r="I108" s="3"/>
      <c r="J108" s="3"/>
      <c r="K108" s="3"/>
      <c r="L108" s="3"/>
      <c r="M108" s="3"/>
    </row>
    <row r="109" customFormat="false" ht="15" hidden="false" customHeight="false" outlineLevel="0" collapsed="false">
      <c r="A109" s="3" t="s">
        <v>426</v>
      </c>
      <c r="B109" s="3" t="s">
        <v>427</v>
      </c>
      <c r="C109" s="3" t="s">
        <v>81</v>
      </c>
      <c r="D109" s="3" t="s">
        <v>428</v>
      </c>
      <c r="E109" s="3"/>
      <c r="F109" s="3"/>
      <c r="G109" s="3"/>
      <c r="H109" s="3"/>
      <c r="I109" s="3"/>
      <c r="J109" s="3"/>
      <c r="K109" s="3"/>
      <c r="L109" s="3"/>
      <c r="M109" s="3"/>
    </row>
    <row r="110" customFormat="false" ht="15" hidden="false" customHeight="false" outlineLevel="0" collapsed="false">
      <c r="A110" s="3" t="s">
        <v>429</v>
      </c>
      <c r="B110" s="3" t="s">
        <v>430</v>
      </c>
      <c r="C110" s="3" t="s">
        <v>81</v>
      </c>
      <c r="D110" s="3" t="s">
        <v>431</v>
      </c>
      <c r="E110" s="3"/>
      <c r="F110" s="3"/>
      <c r="G110" s="3"/>
      <c r="H110" s="3"/>
      <c r="I110" s="3"/>
      <c r="J110" s="3"/>
      <c r="K110" s="3"/>
      <c r="L110" s="3"/>
      <c r="M110" s="3"/>
    </row>
    <row r="111" customFormat="false" ht="15" hidden="false" customHeight="false" outlineLevel="0" collapsed="false">
      <c r="A111" s="3" t="s">
        <v>432</v>
      </c>
      <c r="B111" s="3" t="s">
        <v>433</v>
      </c>
      <c r="C111" s="3" t="s">
        <v>81</v>
      </c>
      <c r="D111" s="3" t="s">
        <v>434</v>
      </c>
      <c r="E111" s="3"/>
      <c r="F111" s="3"/>
      <c r="G111" s="3"/>
      <c r="H111" s="3"/>
      <c r="I111" s="3"/>
      <c r="J111" s="3"/>
      <c r="K111" s="3"/>
      <c r="L111" s="3"/>
      <c r="M111" s="3"/>
    </row>
    <row r="112" customFormat="false" ht="15" hidden="false" customHeight="false" outlineLevel="0" collapsed="false">
      <c r="A112" s="3" t="s">
        <v>435</v>
      </c>
      <c r="B112" s="3" t="s">
        <v>436</v>
      </c>
      <c r="C112" s="3" t="s">
        <v>81</v>
      </c>
      <c r="D112" s="3" t="s">
        <v>437</v>
      </c>
      <c r="E112" s="3"/>
      <c r="F112" s="3"/>
      <c r="G112" s="3"/>
      <c r="H112" s="3"/>
      <c r="I112" s="3"/>
      <c r="J112" s="3"/>
      <c r="K112" s="3"/>
      <c r="L112" s="3"/>
      <c r="M112" s="3"/>
    </row>
    <row r="113" customFormat="false" ht="15" hidden="false" customHeight="false" outlineLevel="0" collapsed="false">
      <c r="A113" s="3" t="s">
        <v>438</v>
      </c>
      <c r="B113" s="3" t="s">
        <v>439</v>
      </c>
      <c r="C113" s="3" t="s">
        <v>81</v>
      </c>
      <c r="D113" s="3" t="s">
        <v>440</v>
      </c>
      <c r="E113" s="3"/>
      <c r="F113" s="3"/>
      <c r="G113" s="3"/>
      <c r="H113" s="3"/>
      <c r="I113" s="3"/>
      <c r="J113" s="3"/>
      <c r="K113" s="3"/>
      <c r="L113" s="3"/>
      <c r="M113" s="3"/>
    </row>
    <row r="114" customFormat="false" ht="15" hidden="false" customHeight="false" outlineLevel="0" collapsed="false">
      <c r="A114" s="3" t="s">
        <v>441</v>
      </c>
      <c r="B114" s="3" t="s">
        <v>442</v>
      </c>
      <c r="C114" s="3" t="s">
        <v>81</v>
      </c>
      <c r="D114" s="3" t="s">
        <v>443</v>
      </c>
      <c r="E114" s="3"/>
      <c r="F114" s="3"/>
      <c r="G114" s="3"/>
      <c r="H114" s="3"/>
      <c r="I114" s="3"/>
      <c r="J114" s="3"/>
      <c r="K114" s="3"/>
      <c r="L114" s="3"/>
      <c r="M114" s="3"/>
    </row>
    <row r="115" customFormat="false" ht="15" hidden="false" customHeight="false" outlineLevel="0" collapsed="false">
      <c r="A115" s="3" t="s">
        <v>444</v>
      </c>
      <c r="B115" s="3" t="s">
        <v>445</v>
      </c>
      <c r="C115" s="3" t="s">
        <v>81</v>
      </c>
      <c r="D115" s="3" t="s">
        <v>446</v>
      </c>
      <c r="E115" s="3"/>
      <c r="F115" s="3"/>
      <c r="G115" s="3"/>
      <c r="H115" s="3"/>
      <c r="I115" s="3"/>
      <c r="J115" s="3"/>
      <c r="K115" s="3"/>
      <c r="L115" s="3"/>
      <c r="M115" s="3"/>
    </row>
    <row r="116" customFormat="false" ht="15" hidden="false" customHeight="false" outlineLevel="0" collapsed="false">
      <c r="A116" s="3" t="s">
        <v>447</v>
      </c>
      <c r="B116" s="3" t="s">
        <v>448</v>
      </c>
      <c r="C116" s="3" t="s">
        <v>84</v>
      </c>
      <c r="D116" s="3" t="s">
        <v>449</v>
      </c>
      <c r="E116" s="3"/>
      <c r="F116" s="3"/>
      <c r="G116" s="3"/>
      <c r="H116" s="3"/>
      <c r="I116" s="3"/>
      <c r="J116" s="3"/>
      <c r="K116" s="3"/>
      <c r="L116" s="3"/>
      <c r="M116" s="3"/>
    </row>
    <row r="117" customFormat="false" ht="15" hidden="false" customHeight="false" outlineLevel="0" collapsed="false">
      <c r="A117" s="3" t="s">
        <v>450</v>
      </c>
      <c r="B117" s="3" t="s">
        <v>451</v>
      </c>
      <c r="C117" s="3" t="s">
        <v>84</v>
      </c>
      <c r="D117" s="3" t="s">
        <v>452</v>
      </c>
      <c r="E117" s="3"/>
      <c r="F117" s="3"/>
      <c r="G117" s="3"/>
      <c r="H117" s="3"/>
      <c r="I117" s="3"/>
      <c r="J117" s="3"/>
      <c r="K117" s="3"/>
      <c r="L117" s="3"/>
      <c r="M117" s="3"/>
    </row>
    <row r="118" customFormat="false" ht="15" hidden="false" customHeight="false" outlineLevel="0" collapsed="false">
      <c r="A118" s="3" t="s">
        <v>453</v>
      </c>
      <c r="B118" s="3" t="s">
        <v>454</v>
      </c>
      <c r="C118" s="3" t="s">
        <v>84</v>
      </c>
      <c r="D118" s="3" t="s">
        <v>455</v>
      </c>
      <c r="E118" s="3"/>
      <c r="F118" s="3"/>
      <c r="G118" s="3"/>
      <c r="H118" s="3"/>
      <c r="I118" s="3"/>
      <c r="J118" s="3"/>
      <c r="K118" s="3"/>
      <c r="L118" s="3"/>
      <c r="M118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</cols>
  <sheetData>
    <row r="1" customFormat="false" ht="30" hidden="false" customHeight="true" outlineLevel="0" collapsed="false">
      <c r="A1" s="4" t="s">
        <v>87</v>
      </c>
      <c r="B1" s="4" t="s">
        <v>44</v>
      </c>
    </row>
    <row r="2" customFormat="false" ht="15" hidden="false" customHeight="false" outlineLevel="0" collapsed="false">
      <c r="A2" s="3" t="s">
        <v>98</v>
      </c>
      <c r="B2" s="3" t="s">
        <v>48</v>
      </c>
    </row>
    <row r="3" customFormat="false" ht="15" hidden="false" customHeight="false" outlineLevel="0" collapsed="false">
      <c r="A3" s="3" t="s">
        <v>101</v>
      </c>
      <c r="B3" s="3" t="s">
        <v>48</v>
      </c>
    </row>
    <row r="4" customFormat="false" ht="15" hidden="false" customHeight="false" outlineLevel="0" collapsed="false">
      <c r="A4" s="3" t="s">
        <v>104</v>
      </c>
      <c r="B4" s="3" t="s">
        <v>48</v>
      </c>
    </row>
    <row r="5" customFormat="false" ht="15" hidden="false" customHeight="false" outlineLevel="0" collapsed="false">
      <c r="A5" s="3" t="s">
        <v>107</v>
      </c>
      <c r="B5" s="3" t="s">
        <v>48</v>
      </c>
    </row>
    <row r="6" customFormat="false" ht="15" hidden="false" customHeight="false" outlineLevel="0" collapsed="false">
      <c r="A6" s="3" t="s">
        <v>110</v>
      </c>
      <c r="B6" s="3" t="s">
        <v>48</v>
      </c>
    </row>
    <row r="7" customFormat="false" ht="15" hidden="false" customHeight="false" outlineLevel="0" collapsed="false">
      <c r="A7" s="3" t="s">
        <v>113</v>
      </c>
      <c r="B7" s="3" t="s">
        <v>48</v>
      </c>
    </row>
    <row r="8" customFormat="false" ht="15" hidden="false" customHeight="false" outlineLevel="0" collapsed="false">
      <c r="A8" s="3" t="s">
        <v>116</v>
      </c>
      <c r="B8" s="3" t="s">
        <v>48</v>
      </c>
    </row>
    <row r="9" customFormat="false" ht="15" hidden="false" customHeight="false" outlineLevel="0" collapsed="false">
      <c r="A9" s="3" t="s">
        <v>119</v>
      </c>
      <c r="B9" s="3" t="s">
        <v>48</v>
      </c>
    </row>
    <row r="10" customFormat="false" ht="15" hidden="false" customHeight="false" outlineLevel="0" collapsed="false">
      <c r="A10" s="3" t="s">
        <v>122</v>
      </c>
      <c r="B10" s="3" t="s">
        <v>48</v>
      </c>
    </row>
    <row r="11" customFormat="false" ht="15" hidden="false" customHeight="false" outlineLevel="0" collapsed="false">
      <c r="A11" s="3" t="s">
        <v>125</v>
      </c>
      <c r="B11" s="3" t="s">
        <v>48</v>
      </c>
    </row>
    <row r="12" customFormat="false" ht="15" hidden="false" customHeight="false" outlineLevel="0" collapsed="false">
      <c r="A12" s="3" t="s">
        <v>135</v>
      </c>
      <c r="B12" s="3" t="s">
        <v>48</v>
      </c>
    </row>
    <row r="13" customFormat="false" ht="15" hidden="false" customHeight="false" outlineLevel="0" collapsed="false">
      <c r="A13" s="3" t="s">
        <v>138</v>
      </c>
      <c r="B13" s="3" t="s">
        <v>48</v>
      </c>
    </row>
    <row r="14" customFormat="false" ht="15" hidden="false" customHeight="false" outlineLevel="0" collapsed="false">
      <c r="A14" s="3" t="s">
        <v>135</v>
      </c>
      <c r="B14" s="3" t="s">
        <v>51</v>
      </c>
    </row>
    <row r="15" customFormat="false" ht="15" hidden="false" customHeight="false" outlineLevel="0" collapsed="false">
      <c r="A15" s="3" t="s">
        <v>141</v>
      </c>
      <c r="B15" s="3" t="s">
        <v>51</v>
      </c>
    </row>
    <row r="16" customFormat="false" ht="15" hidden="false" customHeight="false" outlineLevel="0" collapsed="false">
      <c r="A16" s="3" t="s">
        <v>144</v>
      </c>
      <c r="B16" s="3" t="s">
        <v>51</v>
      </c>
    </row>
    <row r="17" customFormat="false" ht="15" hidden="false" customHeight="false" outlineLevel="0" collapsed="false">
      <c r="A17" s="3" t="s">
        <v>147</v>
      </c>
      <c r="B17" s="3" t="s">
        <v>51</v>
      </c>
    </row>
    <row r="18" customFormat="false" ht="15" hidden="false" customHeight="false" outlineLevel="0" collapsed="false">
      <c r="A18" s="3" t="s">
        <v>150</v>
      </c>
      <c r="B18" s="3" t="s">
        <v>51</v>
      </c>
    </row>
    <row r="19" customFormat="false" ht="15" hidden="false" customHeight="false" outlineLevel="0" collapsed="false">
      <c r="A19" s="3" t="s">
        <v>153</v>
      </c>
      <c r="B19" s="3" t="s">
        <v>51</v>
      </c>
    </row>
    <row r="20" customFormat="false" ht="15" hidden="false" customHeight="false" outlineLevel="0" collapsed="false">
      <c r="A20" s="3" t="s">
        <v>156</v>
      </c>
      <c r="B20" s="3" t="s">
        <v>51</v>
      </c>
    </row>
    <row r="21" customFormat="false" ht="15" hidden="false" customHeight="false" outlineLevel="0" collapsed="false">
      <c r="A21" s="3" t="s">
        <v>159</v>
      </c>
      <c r="B21" s="3" t="s">
        <v>51</v>
      </c>
    </row>
    <row r="22" customFormat="false" ht="15" hidden="false" customHeight="false" outlineLevel="0" collapsed="false">
      <c r="A22" s="3" t="s">
        <v>162</v>
      </c>
      <c r="B22" s="3" t="s">
        <v>51</v>
      </c>
    </row>
    <row r="23" customFormat="false" ht="15" hidden="false" customHeight="false" outlineLevel="0" collapsed="false">
      <c r="A23" s="3" t="s">
        <v>165</v>
      </c>
      <c r="B23" s="3" t="s">
        <v>51</v>
      </c>
    </row>
    <row r="24" customFormat="false" ht="15" hidden="false" customHeight="false" outlineLevel="0" collapsed="false">
      <c r="A24" s="3" t="s">
        <v>168</v>
      </c>
      <c r="B24" s="3" t="s">
        <v>51</v>
      </c>
    </row>
    <row r="25" customFormat="false" ht="15" hidden="false" customHeight="false" outlineLevel="0" collapsed="false">
      <c r="A25" s="3" t="s">
        <v>171</v>
      </c>
      <c r="B25" s="3" t="s">
        <v>51</v>
      </c>
    </row>
    <row r="26" customFormat="false" ht="15" hidden="false" customHeight="false" outlineLevel="0" collapsed="false">
      <c r="A26" s="3" t="s">
        <v>174</v>
      </c>
      <c r="B26" s="3" t="s">
        <v>51</v>
      </c>
    </row>
    <row r="27" customFormat="false" ht="15" hidden="false" customHeight="false" outlineLevel="0" collapsed="false">
      <c r="A27" s="3" t="s">
        <v>177</v>
      </c>
      <c r="B27" s="3" t="s">
        <v>51</v>
      </c>
    </row>
    <row r="28" customFormat="false" ht="15" hidden="false" customHeight="false" outlineLevel="0" collapsed="false">
      <c r="A28" s="3" t="s">
        <v>180</v>
      </c>
      <c r="B28" s="3" t="s">
        <v>51</v>
      </c>
    </row>
    <row r="29" customFormat="false" ht="15" hidden="false" customHeight="false" outlineLevel="0" collapsed="false">
      <c r="A29" s="3" t="s">
        <v>183</v>
      </c>
      <c r="B29" s="3" t="s">
        <v>51</v>
      </c>
    </row>
    <row r="30" customFormat="false" ht="15" hidden="false" customHeight="false" outlineLevel="0" collapsed="false">
      <c r="A30" s="3" t="s">
        <v>186</v>
      </c>
      <c r="B30" s="3" t="s">
        <v>54</v>
      </c>
    </row>
    <row r="31" customFormat="false" ht="15" hidden="false" customHeight="false" outlineLevel="0" collapsed="false">
      <c r="A31" s="3" t="s">
        <v>189</v>
      </c>
      <c r="B31" s="3" t="s">
        <v>54</v>
      </c>
    </row>
    <row r="32" customFormat="false" ht="15" hidden="false" customHeight="false" outlineLevel="0" collapsed="false">
      <c r="A32" s="3" t="s">
        <v>162</v>
      </c>
      <c r="B32" s="3" t="s">
        <v>54</v>
      </c>
    </row>
    <row r="33" customFormat="false" ht="15" hidden="false" customHeight="false" outlineLevel="0" collapsed="false">
      <c r="A33" s="3" t="s">
        <v>168</v>
      </c>
      <c r="B33" s="3" t="s">
        <v>54</v>
      </c>
    </row>
    <row r="34" customFormat="false" ht="15" hidden="false" customHeight="false" outlineLevel="0" collapsed="false">
      <c r="A34" s="3" t="s">
        <v>165</v>
      </c>
      <c r="B34" s="3" t="s">
        <v>54</v>
      </c>
    </row>
    <row r="35" customFormat="false" ht="15" hidden="false" customHeight="false" outlineLevel="0" collapsed="false">
      <c r="A35" s="3" t="s">
        <v>192</v>
      </c>
      <c r="B35" s="3" t="s">
        <v>54</v>
      </c>
    </row>
    <row r="36" customFormat="false" ht="15" hidden="false" customHeight="false" outlineLevel="0" collapsed="false">
      <c r="A36" s="3" t="s">
        <v>195</v>
      </c>
      <c r="B36" s="3" t="s">
        <v>54</v>
      </c>
    </row>
    <row r="37" customFormat="false" ht="15" hidden="false" customHeight="false" outlineLevel="0" collapsed="false">
      <c r="A37" s="3" t="s">
        <v>171</v>
      </c>
      <c r="B37" s="3" t="s">
        <v>54</v>
      </c>
    </row>
    <row r="38" customFormat="false" ht="15" hidden="false" customHeight="false" outlineLevel="0" collapsed="false">
      <c r="A38" s="3" t="s">
        <v>174</v>
      </c>
      <c r="B38" s="3" t="s">
        <v>54</v>
      </c>
    </row>
    <row r="39" customFormat="false" ht="15" hidden="false" customHeight="false" outlineLevel="0" collapsed="false">
      <c r="A39" s="3" t="s">
        <v>198</v>
      </c>
      <c r="B39" s="3" t="s">
        <v>54</v>
      </c>
    </row>
    <row r="40" customFormat="false" ht="15" hidden="false" customHeight="false" outlineLevel="0" collapsed="false">
      <c r="A40" s="3" t="s">
        <v>201</v>
      </c>
      <c r="B40" s="3" t="s">
        <v>54</v>
      </c>
    </row>
    <row r="41" customFormat="false" ht="15" hidden="false" customHeight="false" outlineLevel="0" collapsed="false">
      <c r="A41" s="3" t="s">
        <v>177</v>
      </c>
      <c r="B41" s="3" t="s">
        <v>54</v>
      </c>
    </row>
    <row r="42" customFormat="false" ht="15" hidden="false" customHeight="false" outlineLevel="0" collapsed="false">
      <c r="A42" s="3" t="s">
        <v>183</v>
      </c>
      <c r="B42" s="3" t="s">
        <v>57</v>
      </c>
    </row>
    <row r="43" customFormat="false" ht="15" hidden="false" customHeight="false" outlineLevel="0" collapsed="false">
      <c r="A43" s="3" t="s">
        <v>204</v>
      </c>
      <c r="B43" s="3" t="s">
        <v>57</v>
      </c>
    </row>
    <row r="44" customFormat="false" ht="15" hidden="false" customHeight="false" outlineLevel="0" collapsed="false">
      <c r="A44" s="3" t="s">
        <v>207</v>
      </c>
      <c r="B44" s="3" t="s">
        <v>57</v>
      </c>
    </row>
    <row r="45" customFormat="false" ht="15" hidden="false" customHeight="false" outlineLevel="0" collapsed="false">
      <c r="A45" s="3" t="s">
        <v>210</v>
      </c>
      <c r="B45" s="3" t="s">
        <v>57</v>
      </c>
    </row>
    <row r="46" customFormat="false" ht="15" hidden="false" customHeight="false" outlineLevel="0" collapsed="false">
      <c r="A46" s="3" t="s">
        <v>213</v>
      </c>
      <c r="B46" s="3" t="s">
        <v>57</v>
      </c>
    </row>
    <row r="47" customFormat="false" ht="15" hidden="false" customHeight="false" outlineLevel="0" collapsed="false">
      <c r="A47" s="3" t="s">
        <v>216</v>
      </c>
      <c r="B47" s="3" t="s">
        <v>57</v>
      </c>
    </row>
    <row r="48" customFormat="false" ht="15" hidden="false" customHeight="false" outlineLevel="0" collapsed="false">
      <c r="A48" s="3" t="s">
        <v>219</v>
      </c>
      <c r="B48" s="3" t="s">
        <v>57</v>
      </c>
    </row>
    <row r="49" customFormat="false" ht="15" hidden="false" customHeight="false" outlineLevel="0" collapsed="false">
      <c r="A49" s="3" t="s">
        <v>222</v>
      </c>
      <c r="B49" s="3" t="s">
        <v>57</v>
      </c>
    </row>
    <row r="50" customFormat="false" ht="15" hidden="false" customHeight="false" outlineLevel="0" collapsed="false">
      <c r="A50" s="3" t="s">
        <v>225</v>
      </c>
      <c r="B50" s="3" t="s">
        <v>60</v>
      </c>
    </row>
    <row r="51" customFormat="false" ht="15" hidden="false" customHeight="false" outlineLevel="0" collapsed="false">
      <c r="A51" s="3" t="s">
        <v>228</v>
      </c>
      <c r="B51" s="3" t="s">
        <v>60</v>
      </c>
    </row>
    <row r="52" customFormat="false" ht="15" hidden="false" customHeight="false" outlineLevel="0" collapsed="false">
      <c r="A52" s="3" t="s">
        <v>231</v>
      </c>
      <c r="B52" s="3" t="s">
        <v>60</v>
      </c>
    </row>
    <row r="53" customFormat="false" ht="15" hidden="false" customHeight="false" outlineLevel="0" collapsed="false">
      <c r="A53" s="3" t="s">
        <v>234</v>
      </c>
      <c r="B53" s="3" t="s">
        <v>60</v>
      </c>
    </row>
    <row r="54" customFormat="false" ht="15" hidden="false" customHeight="false" outlineLevel="0" collapsed="false">
      <c r="A54" s="3" t="s">
        <v>237</v>
      </c>
      <c r="B54" s="3" t="s">
        <v>63</v>
      </c>
    </row>
    <row r="55" customFormat="false" ht="15" hidden="false" customHeight="false" outlineLevel="0" collapsed="false">
      <c r="A55" s="3" t="s">
        <v>240</v>
      </c>
      <c r="B55" s="3" t="s">
        <v>63</v>
      </c>
    </row>
    <row r="56" customFormat="false" ht="15" hidden="false" customHeight="false" outlineLevel="0" collapsed="false">
      <c r="A56" s="3" t="s">
        <v>243</v>
      </c>
      <c r="B56" s="3" t="s">
        <v>63</v>
      </c>
    </row>
    <row r="57" customFormat="false" ht="15" hidden="false" customHeight="false" outlineLevel="0" collapsed="false">
      <c r="A57" s="3" t="s">
        <v>246</v>
      </c>
      <c r="B57" s="3" t="s">
        <v>63</v>
      </c>
    </row>
    <row r="58" customFormat="false" ht="15" hidden="false" customHeight="false" outlineLevel="0" collapsed="false">
      <c r="A58" s="3" t="s">
        <v>249</v>
      </c>
      <c r="B58" s="3" t="s">
        <v>63</v>
      </c>
    </row>
    <row r="59" customFormat="false" ht="15" hidden="false" customHeight="false" outlineLevel="0" collapsed="false">
      <c r="A59" s="3" t="s">
        <v>252</v>
      </c>
      <c r="B59" s="3" t="s">
        <v>63</v>
      </c>
    </row>
    <row r="60" customFormat="false" ht="15" hidden="false" customHeight="false" outlineLevel="0" collapsed="false">
      <c r="A60" s="3" t="s">
        <v>255</v>
      </c>
      <c r="B60" s="3" t="s">
        <v>63</v>
      </c>
    </row>
    <row r="61" customFormat="false" ht="15" hidden="false" customHeight="false" outlineLevel="0" collapsed="false">
      <c r="A61" s="3" t="s">
        <v>258</v>
      </c>
      <c r="B61" s="3" t="s">
        <v>63</v>
      </c>
    </row>
    <row r="62" customFormat="false" ht="15" hidden="false" customHeight="false" outlineLevel="0" collapsed="false">
      <c r="A62" s="3" t="s">
        <v>261</v>
      </c>
      <c r="B62" s="3" t="s">
        <v>63</v>
      </c>
    </row>
    <row r="63" customFormat="false" ht="15" hidden="false" customHeight="false" outlineLevel="0" collapsed="false">
      <c r="A63" s="3" t="s">
        <v>264</v>
      </c>
      <c r="B63" s="3" t="s">
        <v>63</v>
      </c>
    </row>
    <row r="64" customFormat="false" ht="15" hidden="false" customHeight="false" outlineLevel="0" collapsed="false">
      <c r="A64" s="3" t="s">
        <v>267</v>
      </c>
      <c r="B64" s="3" t="s">
        <v>63</v>
      </c>
    </row>
    <row r="65" customFormat="false" ht="15" hidden="false" customHeight="false" outlineLevel="0" collapsed="false">
      <c r="A65" s="3" t="s">
        <v>270</v>
      </c>
      <c r="B65" s="3" t="s">
        <v>63</v>
      </c>
    </row>
    <row r="66" customFormat="false" ht="15" hidden="false" customHeight="false" outlineLevel="0" collapsed="false">
      <c r="A66" s="3" t="s">
        <v>273</v>
      </c>
      <c r="B66" s="3" t="s">
        <v>63</v>
      </c>
    </row>
    <row r="67" customFormat="false" ht="15" hidden="false" customHeight="false" outlineLevel="0" collapsed="false">
      <c r="A67" s="3" t="s">
        <v>276</v>
      </c>
      <c r="B67" s="3" t="s">
        <v>63</v>
      </c>
    </row>
    <row r="68" customFormat="false" ht="15" hidden="false" customHeight="false" outlineLevel="0" collapsed="false">
      <c r="A68" s="3" t="s">
        <v>279</v>
      </c>
      <c r="B68" s="3" t="s">
        <v>63</v>
      </c>
    </row>
    <row r="69" customFormat="false" ht="15" hidden="false" customHeight="false" outlineLevel="0" collapsed="false">
      <c r="A69" s="3" t="s">
        <v>282</v>
      </c>
      <c r="B69" s="3" t="s">
        <v>63</v>
      </c>
    </row>
    <row r="70" customFormat="false" ht="15" hidden="false" customHeight="false" outlineLevel="0" collapsed="false">
      <c r="A70" s="3" t="s">
        <v>285</v>
      </c>
      <c r="B70" s="3" t="s">
        <v>63</v>
      </c>
    </row>
    <row r="71" customFormat="false" ht="15" hidden="false" customHeight="false" outlineLevel="0" collapsed="false">
      <c r="A71" s="3" t="s">
        <v>288</v>
      </c>
      <c r="B71" s="3" t="s">
        <v>63</v>
      </c>
    </row>
    <row r="72" customFormat="false" ht="15" hidden="false" customHeight="false" outlineLevel="0" collapsed="false">
      <c r="A72" s="3" t="s">
        <v>291</v>
      </c>
      <c r="B72" s="3" t="s">
        <v>66</v>
      </c>
    </row>
    <row r="73" customFormat="false" ht="15" hidden="false" customHeight="false" outlineLevel="0" collapsed="false">
      <c r="A73" s="3" t="s">
        <v>294</v>
      </c>
      <c r="B73" s="3" t="s">
        <v>66</v>
      </c>
    </row>
    <row r="74" customFormat="false" ht="15" hidden="false" customHeight="false" outlineLevel="0" collapsed="false">
      <c r="A74" s="3" t="s">
        <v>297</v>
      </c>
      <c r="B74" s="3" t="s">
        <v>66</v>
      </c>
    </row>
    <row r="75" customFormat="false" ht="15" hidden="false" customHeight="false" outlineLevel="0" collapsed="false">
      <c r="A75" s="3" t="s">
        <v>300</v>
      </c>
      <c r="B75" s="3" t="s">
        <v>66</v>
      </c>
    </row>
    <row r="76" customFormat="false" ht="15" hidden="false" customHeight="false" outlineLevel="0" collapsed="false">
      <c r="A76" s="3" t="s">
        <v>303</v>
      </c>
      <c r="B76" s="3" t="s">
        <v>66</v>
      </c>
    </row>
    <row r="77" customFormat="false" ht="15" hidden="false" customHeight="false" outlineLevel="0" collapsed="false">
      <c r="A77" s="3" t="s">
        <v>306</v>
      </c>
      <c r="B77" s="3" t="s">
        <v>66</v>
      </c>
    </row>
    <row r="78" customFormat="false" ht="15" hidden="false" customHeight="false" outlineLevel="0" collapsed="false">
      <c r="A78" s="3" t="s">
        <v>309</v>
      </c>
      <c r="B78" s="3" t="s">
        <v>66</v>
      </c>
    </row>
    <row r="79" customFormat="false" ht="15" hidden="false" customHeight="false" outlineLevel="0" collapsed="false">
      <c r="A79" s="3" t="s">
        <v>312</v>
      </c>
      <c r="B79" s="3" t="s">
        <v>66</v>
      </c>
    </row>
    <row r="80" customFormat="false" ht="15" hidden="false" customHeight="false" outlineLevel="0" collapsed="false">
      <c r="A80" s="3" t="s">
        <v>315</v>
      </c>
      <c r="B80" s="3" t="s">
        <v>69</v>
      </c>
    </row>
    <row r="81" customFormat="false" ht="15" hidden="false" customHeight="false" outlineLevel="0" collapsed="false">
      <c r="A81" s="3" t="s">
        <v>318</v>
      </c>
      <c r="B81" s="3" t="s">
        <v>69</v>
      </c>
    </row>
    <row r="82" customFormat="false" ht="15" hidden="false" customHeight="false" outlineLevel="0" collapsed="false">
      <c r="A82" s="3" t="s">
        <v>321</v>
      </c>
      <c r="B82" s="3" t="s">
        <v>69</v>
      </c>
    </row>
    <row r="83" customFormat="false" ht="15" hidden="false" customHeight="false" outlineLevel="0" collapsed="false">
      <c r="A83" s="3" t="s">
        <v>324</v>
      </c>
      <c r="B83" s="3" t="s">
        <v>69</v>
      </c>
    </row>
    <row r="84" customFormat="false" ht="15" hidden="false" customHeight="false" outlineLevel="0" collapsed="false">
      <c r="A84" s="3" t="s">
        <v>327</v>
      </c>
      <c r="B84" s="3" t="s">
        <v>72</v>
      </c>
    </row>
    <row r="85" customFormat="false" ht="15" hidden="false" customHeight="false" outlineLevel="0" collapsed="false">
      <c r="A85" s="3" t="s">
        <v>330</v>
      </c>
      <c r="B85" s="3" t="s">
        <v>72</v>
      </c>
    </row>
    <row r="86" customFormat="false" ht="15" hidden="false" customHeight="false" outlineLevel="0" collapsed="false">
      <c r="A86" s="3" t="s">
        <v>333</v>
      </c>
      <c r="B86" s="3" t="s">
        <v>72</v>
      </c>
    </row>
    <row r="87" customFormat="false" ht="15" hidden="false" customHeight="false" outlineLevel="0" collapsed="false">
      <c r="A87" s="3" t="s">
        <v>336</v>
      </c>
      <c r="B87" s="3" t="s">
        <v>72</v>
      </c>
    </row>
    <row r="88" customFormat="false" ht="15" hidden="false" customHeight="false" outlineLevel="0" collapsed="false">
      <c r="A88" s="3" t="s">
        <v>339</v>
      </c>
      <c r="B88" s="3" t="s">
        <v>72</v>
      </c>
    </row>
    <row r="89" customFormat="false" ht="15" hidden="false" customHeight="false" outlineLevel="0" collapsed="false">
      <c r="A89" s="3" t="s">
        <v>342</v>
      </c>
      <c r="B89" s="3" t="s">
        <v>72</v>
      </c>
    </row>
    <row r="90" customFormat="false" ht="15" hidden="false" customHeight="false" outlineLevel="0" collapsed="false">
      <c r="A90" s="3" t="s">
        <v>345</v>
      </c>
      <c r="B90" s="3" t="s">
        <v>72</v>
      </c>
    </row>
    <row r="91" customFormat="false" ht="15" hidden="false" customHeight="false" outlineLevel="0" collapsed="false">
      <c r="A91" s="3" t="s">
        <v>348</v>
      </c>
      <c r="B91" s="3" t="s">
        <v>72</v>
      </c>
    </row>
    <row r="92" customFormat="false" ht="15" hidden="false" customHeight="false" outlineLevel="0" collapsed="false">
      <c r="A92" s="3" t="s">
        <v>351</v>
      </c>
      <c r="B92" s="3" t="s">
        <v>72</v>
      </c>
    </row>
    <row r="93" customFormat="false" ht="15" hidden="false" customHeight="false" outlineLevel="0" collapsed="false">
      <c r="A93" s="3" t="s">
        <v>354</v>
      </c>
      <c r="B93" s="3" t="s">
        <v>75</v>
      </c>
    </row>
    <row r="94" customFormat="false" ht="15" hidden="false" customHeight="false" outlineLevel="0" collapsed="false">
      <c r="A94" s="3" t="s">
        <v>357</v>
      </c>
      <c r="B94" s="3" t="s">
        <v>75</v>
      </c>
    </row>
    <row r="95" customFormat="false" ht="15" hidden="false" customHeight="false" outlineLevel="0" collapsed="false">
      <c r="A95" s="3" t="s">
        <v>360</v>
      </c>
      <c r="B95" s="3" t="s">
        <v>75</v>
      </c>
    </row>
    <row r="96" customFormat="false" ht="15" hidden="false" customHeight="false" outlineLevel="0" collapsed="false">
      <c r="A96" s="3" t="s">
        <v>363</v>
      </c>
      <c r="B96" s="3" t="s">
        <v>75</v>
      </c>
    </row>
    <row r="97" customFormat="false" ht="15" hidden="false" customHeight="false" outlineLevel="0" collapsed="false">
      <c r="A97" s="3" t="s">
        <v>366</v>
      </c>
      <c r="B97" s="3" t="s">
        <v>75</v>
      </c>
    </row>
    <row r="98" customFormat="false" ht="15" hidden="false" customHeight="false" outlineLevel="0" collapsed="false">
      <c r="A98" s="3" t="s">
        <v>369</v>
      </c>
      <c r="B98" s="3" t="s">
        <v>75</v>
      </c>
    </row>
    <row r="99" customFormat="false" ht="15" hidden="false" customHeight="false" outlineLevel="0" collapsed="false">
      <c r="A99" s="3" t="s">
        <v>372</v>
      </c>
      <c r="B99" s="3" t="s">
        <v>75</v>
      </c>
    </row>
    <row r="100" customFormat="false" ht="15" hidden="false" customHeight="false" outlineLevel="0" collapsed="false">
      <c r="A100" s="3" t="s">
        <v>375</v>
      </c>
      <c r="B100" s="3" t="s">
        <v>75</v>
      </c>
    </row>
    <row r="101" customFormat="false" ht="15" hidden="false" customHeight="false" outlineLevel="0" collapsed="false">
      <c r="A101" s="3" t="s">
        <v>378</v>
      </c>
      <c r="B101" s="3" t="s">
        <v>75</v>
      </c>
    </row>
    <row r="102" customFormat="false" ht="15" hidden="false" customHeight="false" outlineLevel="0" collapsed="false">
      <c r="A102" s="3" t="s">
        <v>381</v>
      </c>
      <c r="B102" s="3" t="s">
        <v>75</v>
      </c>
    </row>
    <row r="103" customFormat="false" ht="15" hidden="false" customHeight="false" outlineLevel="0" collapsed="false">
      <c r="A103" s="3" t="s">
        <v>384</v>
      </c>
      <c r="B103" s="3" t="s">
        <v>75</v>
      </c>
    </row>
    <row r="104" customFormat="false" ht="15" hidden="false" customHeight="false" outlineLevel="0" collapsed="false">
      <c r="A104" s="3" t="s">
        <v>387</v>
      </c>
      <c r="B104" s="3" t="s">
        <v>75</v>
      </c>
    </row>
    <row r="105" customFormat="false" ht="15" hidden="false" customHeight="false" outlineLevel="0" collapsed="false">
      <c r="A105" s="3" t="s">
        <v>390</v>
      </c>
      <c r="B105" s="3" t="s">
        <v>75</v>
      </c>
    </row>
    <row r="106" customFormat="false" ht="15" hidden="false" customHeight="false" outlineLevel="0" collapsed="false">
      <c r="A106" s="3" t="s">
        <v>393</v>
      </c>
      <c r="B106" s="3" t="s">
        <v>75</v>
      </c>
    </row>
    <row r="107" customFormat="false" ht="15" hidden="false" customHeight="false" outlineLevel="0" collapsed="false">
      <c r="A107" s="3" t="s">
        <v>396</v>
      </c>
      <c r="B107" s="3" t="s">
        <v>75</v>
      </c>
    </row>
    <row r="108" customFormat="false" ht="15" hidden="false" customHeight="false" outlineLevel="0" collapsed="false">
      <c r="A108" s="3" t="s">
        <v>399</v>
      </c>
      <c r="B108" s="3" t="s">
        <v>75</v>
      </c>
    </row>
    <row r="109" customFormat="false" ht="15" hidden="false" customHeight="false" outlineLevel="0" collapsed="false">
      <c r="A109" s="3" t="s">
        <v>402</v>
      </c>
      <c r="B109" s="3" t="s">
        <v>75</v>
      </c>
    </row>
    <row r="110" customFormat="false" ht="15" hidden="false" customHeight="false" outlineLevel="0" collapsed="false">
      <c r="A110" s="3" t="s">
        <v>405</v>
      </c>
      <c r="B110" s="3" t="s">
        <v>75</v>
      </c>
    </row>
    <row r="111" customFormat="false" ht="15" hidden="false" customHeight="false" outlineLevel="0" collapsed="false">
      <c r="A111" s="3" t="s">
        <v>351</v>
      </c>
      <c r="B111" s="3" t="s">
        <v>78</v>
      </c>
    </row>
    <row r="112" customFormat="false" ht="15" hidden="false" customHeight="false" outlineLevel="0" collapsed="false">
      <c r="A112" s="3" t="s">
        <v>408</v>
      </c>
      <c r="B112" s="3" t="s">
        <v>78</v>
      </c>
    </row>
    <row r="113" customFormat="false" ht="15" hidden="false" customHeight="false" outlineLevel="0" collapsed="false">
      <c r="A113" s="3" t="s">
        <v>411</v>
      </c>
      <c r="B113" s="3" t="s">
        <v>78</v>
      </c>
    </row>
    <row r="114" customFormat="false" ht="15" hidden="false" customHeight="false" outlineLevel="0" collapsed="false">
      <c r="A114" s="3" t="s">
        <v>414</v>
      </c>
      <c r="B114" s="3" t="s">
        <v>78</v>
      </c>
    </row>
    <row r="115" customFormat="false" ht="15" hidden="false" customHeight="false" outlineLevel="0" collapsed="false">
      <c r="A115" s="3" t="s">
        <v>417</v>
      </c>
      <c r="B115" s="3" t="s">
        <v>78</v>
      </c>
    </row>
    <row r="116" customFormat="false" ht="15" hidden="false" customHeight="false" outlineLevel="0" collapsed="false">
      <c r="A116" s="3" t="s">
        <v>420</v>
      </c>
      <c r="B116" s="3" t="s">
        <v>78</v>
      </c>
    </row>
    <row r="117" customFormat="false" ht="15" hidden="false" customHeight="false" outlineLevel="0" collapsed="false">
      <c r="A117" s="3" t="s">
        <v>423</v>
      </c>
      <c r="B117" s="3" t="s">
        <v>78</v>
      </c>
    </row>
    <row r="118" customFormat="false" ht="15" hidden="false" customHeight="false" outlineLevel="0" collapsed="false">
      <c r="A118" s="3" t="s">
        <v>414</v>
      </c>
      <c r="B118" s="3" t="s">
        <v>81</v>
      </c>
    </row>
    <row r="119" customFormat="false" ht="15" hidden="false" customHeight="false" outlineLevel="0" collapsed="false">
      <c r="A119" s="3" t="s">
        <v>426</v>
      </c>
      <c r="B119" s="3" t="s">
        <v>81</v>
      </c>
    </row>
    <row r="120" customFormat="false" ht="15" hidden="false" customHeight="false" outlineLevel="0" collapsed="false">
      <c r="A120" s="3" t="s">
        <v>429</v>
      </c>
      <c r="B120" s="3" t="s">
        <v>81</v>
      </c>
    </row>
    <row r="121" customFormat="false" ht="15" hidden="false" customHeight="false" outlineLevel="0" collapsed="false">
      <c r="A121" s="3" t="s">
        <v>432</v>
      </c>
      <c r="B121" s="3" t="s">
        <v>81</v>
      </c>
    </row>
    <row r="122" customFormat="false" ht="15" hidden="false" customHeight="false" outlineLevel="0" collapsed="false">
      <c r="A122" s="3" t="s">
        <v>435</v>
      </c>
      <c r="B122" s="3" t="s">
        <v>81</v>
      </c>
    </row>
    <row r="123" customFormat="false" ht="15" hidden="false" customHeight="false" outlineLevel="0" collapsed="false">
      <c r="A123" s="3" t="s">
        <v>438</v>
      </c>
      <c r="B123" s="3" t="s">
        <v>81</v>
      </c>
    </row>
    <row r="124" customFormat="false" ht="15" hidden="false" customHeight="false" outlineLevel="0" collapsed="false">
      <c r="A124" s="3" t="s">
        <v>441</v>
      </c>
      <c r="B124" s="3" t="s">
        <v>81</v>
      </c>
    </row>
    <row r="125" customFormat="false" ht="15" hidden="false" customHeight="false" outlineLevel="0" collapsed="false">
      <c r="A125" s="3" t="s">
        <v>444</v>
      </c>
      <c r="B125" s="3" t="s">
        <v>81</v>
      </c>
    </row>
    <row r="126" customFormat="false" ht="15" hidden="false" customHeight="false" outlineLevel="0" collapsed="false">
      <c r="A126" s="3" t="s">
        <v>447</v>
      </c>
      <c r="B126" s="3" t="s">
        <v>84</v>
      </c>
    </row>
    <row r="127" customFormat="false" ht="15" hidden="false" customHeight="false" outlineLevel="0" collapsed="false">
      <c r="A127" s="3" t="s">
        <v>450</v>
      </c>
      <c r="B127" s="3" t="s">
        <v>84</v>
      </c>
    </row>
    <row r="128" customFormat="false" ht="15" hidden="false" customHeight="false" outlineLevel="0" collapsed="false">
      <c r="A128" s="3" t="s">
        <v>453</v>
      </c>
      <c r="B128" s="3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40"/>
  </cols>
  <sheetData>
    <row r="1" customFormat="false" ht="30" hidden="false" customHeight="true" outlineLevel="0" collapsed="false">
      <c r="A1" s="4" t="s">
        <v>87</v>
      </c>
      <c r="B1" s="4" t="s">
        <v>456</v>
      </c>
      <c r="C1" s="4" t="s">
        <v>457</v>
      </c>
    </row>
    <row r="2" customFormat="false" ht="15" hidden="false" customHeight="false" outlineLevel="0" collapsed="false">
      <c r="A2" s="5" t="s">
        <v>125</v>
      </c>
      <c r="B2" s="5" t="s">
        <v>458</v>
      </c>
      <c r="C2" s="5" t="s">
        <v>459</v>
      </c>
    </row>
    <row r="3" customFormat="false" ht="15" hidden="false" customHeight="false" outlineLevel="0" collapsed="false">
      <c r="A3" s="5" t="s">
        <v>125</v>
      </c>
      <c r="B3" s="5" t="s">
        <v>458</v>
      </c>
      <c r="C3" s="5" t="s">
        <v>460</v>
      </c>
    </row>
    <row r="4" customFormat="false" ht="15" hidden="false" customHeight="false" outlineLevel="0" collapsed="false">
      <c r="A4" s="5" t="s">
        <v>125</v>
      </c>
      <c r="B4" s="5" t="s">
        <v>461</v>
      </c>
      <c r="C4" s="5" t="s">
        <v>462</v>
      </c>
    </row>
    <row r="5" customFormat="false" ht="15" hidden="false" customHeight="false" outlineLevel="0" collapsed="false">
      <c r="A5" s="5" t="s">
        <v>125</v>
      </c>
      <c r="B5" s="5" t="s">
        <v>461</v>
      </c>
      <c r="C5" s="5" t="s">
        <v>460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50"/>
  </cols>
  <sheetData>
    <row r="1" customFormat="false" ht="30" hidden="false" customHeight="true" outlineLevel="0" collapsed="false">
      <c r="A1" s="4" t="s">
        <v>463</v>
      </c>
      <c r="B1" s="4" t="s">
        <v>464</v>
      </c>
      <c r="C1" s="4" t="s">
        <v>87</v>
      </c>
      <c r="D1" s="4" t="s">
        <v>47</v>
      </c>
    </row>
    <row r="2" customFormat="false" ht="15" hidden="false" customHeight="false" outlineLevel="0" collapsed="false">
      <c r="A2" s="5" t="s">
        <v>465</v>
      </c>
      <c r="B2" s="5" t="s">
        <v>466</v>
      </c>
      <c r="C2" s="5" t="s">
        <v>125</v>
      </c>
      <c r="D2" s="5"/>
    </row>
    <row r="3" customFormat="false" ht="15" hidden="false" customHeight="false" outlineLevel="0" collapsed="false">
      <c r="A3" s="5" t="s">
        <v>467</v>
      </c>
      <c r="B3" s="5" t="s">
        <v>151</v>
      </c>
      <c r="C3" s="5" t="s">
        <v>125</v>
      </c>
      <c r="D3" s="5"/>
    </row>
    <row r="4" customFormat="false" ht="15" hidden="false" customHeight="false" outlineLevel="0" collapsed="false">
      <c r="A4" s="5" t="s">
        <v>468</v>
      </c>
      <c r="B4" s="5" t="s">
        <v>469</v>
      </c>
      <c r="C4" s="5" t="s">
        <v>125</v>
      </c>
      <c r="D4" s="5"/>
    </row>
    <row r="5" customFormat="false" ht="15" hidden="false" customHeight="false" outlineLevel="0" collapsed="false">
      <c r="A5" s="5" t="s">
        <v>470</v>
      </c>
      <c r="B5" s="5" t="s">
        <v>471</v>
      </c>
      <c r="C5" s="5" t="s">
        <v>125</v>
      </c>
      <c r="D5" s="5"/>
    </row>
    <row r="6" customFormat="false" ht="15" hidden="false" customHeight="false" outlineLevel="0" collapsed="false">
      <c r="A6" s="5" t="s">
        <v>472</v>
      </c>
      <c r="B6" s="5" t="s">
        <v>473</v>
      </c>
      <c r="C6" s="5" t="s">
        <v>125</v>
      </c>
      <c r="D6" s="5"/>
    </row>
    <row r="7" customFormat="false" ht="15" hidden="false" customHeight="false" outlineLevel="0" collapsed="false">
      <c r="A7" s="5" t="s">
        <v>474</v>
      </c>
      <c r="B7" s="5" t="s">
        <v>475</v>
      </c>
      <c r="C7" s="5" t="s">
        <v>125</v>
      </c>
      <c r="D7" s="5"/>
    </row>
    <row r="8" customFormat="false" ht="15" hidden="false" customHeight="false" outlineLevel="0" collapsed="false">
      <c r="A8" s="5" t="s">
        <v>476</v>
      </c>
      <c r="B8" s="5" t="s">
        <v>477</v>
      </c>
      <c r="C8" s="5" t="s">
        <v>125</v>
      </c>
      <c r="D8" s="5"/>
    </row>
    <row r="9" customFormat="false" ht="15" hidden="false" customHeight="false" outlineLevel="0" collapsed="false">
      <c r="A9" s="5" t="s">
        <v>478</v>
      </c>
      <c r="B9" s="5" t="s">
        <v>479</v>
      </c>
      <c r="C9" s="5" t="s">
        <v>125</v>
      </c>
      <c r="D9" s="5"/>
    </row>
    <row r="10" customFormat="false" ht="15" hidden="false" customHeight="false" outlineLevel="0" collapsed="false">
      <c r="A10" s="5" t="s">
        <v>480</v>
      </c>
      <c r="B10" s="5" t="s">
        <v>481</v>
      </c>
      <c r="C10" s="5" t="s">
        <v>125</v>
      </c>
      <c r="D10" s="5"/>
    </row>
    <row r="11" customFormat="false" ht="15" hidden="false" customHeight="false" outlineLevel="0" collapsed="false">
      <c r="A11" s="5" t="s">
        <v>482</v>
      </c>
      <c r="B11" s="5" t="s">
        <v>483</v>
      </c>
      <c r="C11" s="5" t="s">
        <v>125</v>
      </c>
      <c r="D11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28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26"/>
    <col collapsed="false" customWidth="true" hidden="false" outlineLevel="0" max="7" min="7" style="0" width="10"/>
    <col collapsed="false" customWidth="true" hidden="false" outlineLevel="0" max="8" min="8" style="0" width="18"/>
    <col collapsed="false" customWidth="true" hidden="false" outlineLevel="0" max="10" min="9" style="0" width="12"/>
    <col collapsed="false" customWidth="true" hidden="false" outlineLevel="0" max="12" min="11" style="0" width="14"/>
    <col collapsed="false" customWidth="true" hidden="false" outlineLevel="0" max="14" min="13" style="0" width="16"/>
    <col collapsed="false" customWidth="true" hidden="false" outlineLevel="0" max="15" min="15" style="0" width="40"/>
    <col collapsed="false" customWidth="true" hidden="false" outlineLevel="0" max="16" min="16" style="0" width="30"/>
  </cols>
  <sheetData>
    <row r="1" customFormat="false" ht="30" hidden="false" customHeight="true" outlineLevel="0" collapsed="false">
      <c r="A1" s="4" t="s">
        <v>484</v>
      </c>
      <c r="B1" s="4" t="s">
        <v>485</v>
      </c>
      <c r="C1" s="4" t="s">
        <v>486</v>
      </c>
      <c r="D1" s="4" t="s">
        <v>487</v>
      </c>
      <c r="E1" s="4" t="s">
        <v>488</v>
      </c>
      <c r="F1" s="4" t="s">
        <v>489</v>
      </c>
      <c r="G1" s="4" t="s">
        <v>490</v>
      </c>
      <c r="H1" s="4" t="s">
        <v>491</v>
      </c>
      <c r="I1" s="4" t="s">
        <v>492</v>
      </c>
      <c r="J1" s="4" t="s">
        <v>493</v>
      </c>
      <c r="K1" s="4" t="s">
        <v>494</v>
      </c>
      <c r="L1" s="4" t="s">
        <v>495</v>
      </c>
      <c r="M1" s="4" t="s">
        <v>496</v>
      </c>
      <c r="N1" s="4" t="s">
        <v>497</v>
      </c>
      <c r="O1" s="4" t="s">
        <v>46</v>
      </c>
      <c r="P1" s="4" t="s">
        <v>47</v>
      </c>
    </row>
    <row r="2" customFormat="false" ht="15" hidden="false" customHeight="false" outlineLevel="0" collapsed="false">
      <c r="A2" s="5" t="s">
        <v>498</v>
      </c>
      <c r="B2" s="5" t="s">
        <v>499</v>
      </c>
      <c r="C2" s="5" t="s">
        <v>500</v>
      </c>
      <c r="D2" s="5" t="s">
        <v>501</v>
      </c>
      <c r="E2" s="5"/>
      <c r="F2" s="5" t="s">
        <v>499</v>
      </c>
      <c r="G2" s="5"/>
      <c r="H2" s="5" t="s">
        <v>502</v>
      </c>
      <c r="I2" s="6"/>
      <c r="J2" s="6"/>
      <c r="K2" s="6"/>
      <c r="L2" s="6"/>
      <c r="M2" s="6"/>
      <c r="N2" s="6"/>
      <c r="O2" s="5" t="s">
        <v>127</v>
      </c>
      <c r="P2" s="5"/>
    </row>
    <row r="3" customFormat="false" ht="15" hidden="false" customHeight="false" outlineLevel="0" collapsed="false">
      <c r="A3" s="5" t="s">
        <v>503</v>
      </c>
      <c r="B3" s="5" t="s">
        <v>504</v>
      </c>
      <c r="C3" s="5" t="s">
        <v>505</v>
      </c>
      <c r="D3" s="5" t="s">
        <v>501</v>
      </c>
      <c r="E3" s="5" t="s">
        <v>506</v>
      </c>
      <c r="F3" s="5" t="s">
        <v>507</v>
      </c>
      <c r="G3" s="5"/>
      <c r="H3" s="5" t="s">
        <v>508</v>
      </c>
      <c r="I3" s="6"/>
      <c r="J3" s="6"/>
      <c r="K3" s="6"/>
      <c r="L3" s="6"/>
      <c r="M3" s="6"/>
      <c r="N3" s="6"/>
      <c r="O3" s="5" t="s">
        <v>127</v>
      </c>
      <c r="P3" s="5"/>
    </row>
    <row r="4" customFormat="false" ht="15" hidden="false" customHeight="false" outlineLevel="0" collapsed="false">
      <c r="A4" s="5" t="s">
        <v>509</v>
      </c>
      <c r="B4" s="5" t="s">
        <v>510</v>
      </c>
      <c r="C4" s="5" t="s">
        <v>511</v>
      </c>
      <c r="D4" s="5" t="s">
        <v>501</v>
      </c>
      <c r="E4" s="5" t="s">
        <v>512</v>
      </c>
      <c r="F4" s="5" t="s">
        <v>513</v>
      </c>
      <c r="G4" s="5"/>
      <c r="H4" s="5" t="s">
        <v>508</v>
      </c>
      <c r="I4" s="6"/>
      <c r="J4" s="6"/>
      <c r="K4" s="6"/>
      <c r="L4" s="6"/>
      <c r="M4" s="6"/>
      <c r="N4" s="6"/>
      <c r="O4" s="5" t="s">
        <v>127</v>
      </c>
      <c r="P4" s="5"/>
    </row>
    <row r="5" customFormat="false" ht="15" hidden="false" customHeight="false" outlineLevel="0" collapsed="false">
      <c r="A5" s="5" t="s">
        <v>514</v>
      </c>
      <c r="B5" s="5" t="s">
        <v>515</v>
      </c>
      <c r="C5" s="5" t="s">
        <v>516</v>
      </c>
      <c r="D5" s="5" t="s">
        <v>501</v>
      </c>
      <c r="E5" s="5" t="s">
        <v>517</v>
      </c>
      <c r="F5" s="5" t="s">
        <v>513</v>
      </c>
      <c r="G5" s="5"/>
      <c r="H5" s="5" t="s">
        <v>508</v>
      </c>
      <c r="I5" s="6"/>
      <c r="J5" s="6"/>
      <c r="K5" s="6"/>
      <c r="L5" s="6"/>
      <c r="M5" s="6"/>
      <c r="N5" s="6"/>
      <c r="O5" s="5" t="s">
        <v>127</v>
      </c>
      <c r="P5" s="5"/>
    </row>
    <row r="6" customFormat="false" ht="15" hidden="false" customHeight="false" outlineLevel="0" collapsed="false">
      <c r="A6" s="5" t="s">
        <v>518</v>
      </c>
      <c r="B6" s="5" t="s">
        <v>519</v>
      </c>
      <c r="C6" s="5" t="s">
        <v>520</v>
      </c>
      <c r="D6" s="5" t="s">
        <v>501</v>
      </c>
      <c r="E6" s="5" t="s">
        <v>521</v>
      </c>
      <c r="F6" s="5" t="s">
        <v>519</v>
      </c>
      <c r="G6" s="5"/>
      <c r="H6" s="5" t="s">
        <v>502</v>
      </c>
      <c r="I6" s="6"/>
      <c r="J6" s="6"/>
      <c r="K6" s="6"/>
      <c r="L6" s="6"/>
      <c r="M6" s="6"/>
      <c r="N6" s="6"/>
      <c r="O6" s="5" t="s">
        <v>127</v>
      </c>
      <c r="P6" s="5"/>
    </row>
    <row r="7" customFormat="false" ht="15" hidden="false" customHeight="false" outlineLevel="0" collapsed="false">
      <c r="A7" s="5" t="s">
        <v>522</v>
      </c>
      <c r="B7" s="5" t="s">
        <v>523</v>
      </c>
      <c r="C7" s="5" t="s">
        <v>524</v>
      </c>
      <c r="D7" s="5" t="s">
        <v>501</v>
      </c>
      <c r="E7" s="5" t="s">
        <v>525</v>
      </c>
      <c r="F7" s="5" t="s">
        <v>526</v>
      </c>
      <c r="G7" s="5"/>
      <c r="H7" s="5" t="s">
        <v>502</v>
      </c>
      <c r="I7" s="6"/>
      <c r="J7" s="6"/>
      <c r="K7" s="6"/>
      <c r="L7" s="6"/>
      <c r="M7" s="6"/>
      <c r="N7" s="6"/>
      <c r="O7" s="5" t="s">
        <v>127</v>
      </c>
      <c r="P7" s="5"/>
    </row>
    <row r="8" customFormat="false" ht="15" hidden="false" customHeight="false" outlineLevel="0" collapsed="false">
      <c r="A8" s="5" t="s">
        <v>527</v>
      </c>
      <c r="B8" s="5" t="s">
        <v>528</v>
      </c>
      <c r="C8" s="5" t="s">
        <v>529</v>
      </c>
      <c r="D8" s="5" t="s">
        <v>501</v>
      </c>
      <c r="E8" s="5" t="s">
        <v>530</v>
      </c>
      <c r="F8" s="5" t="s">
        <v>531</v>
      </c>
      <c r="G8" s="5"/>
      <c r="H8" s="5" t="s">
        <v>502</v>
      </c>
      <c r="I8" s="6"/>
      <c r="J8" s="6"/>
      <c r="K8" s="6"/>
      <c r="L8" s="6"/>
      <c r="M8" s="6"/>
      <c r="N8" s="6"/>
      <c r="O8" s="5" t="s">
        <v>127</v>
      </c>
      <c r="P8" s="5"/>
    </row>
    <row r="9" customFormat="false" ht="15" hidden="false" customHeight="false" outlineLevel="0" collapsed="false">
      <c r="A9" s="5" t="s">
        <v>532</v>
      </c>
      <c r="B9" s="5" t="s">
        <v>533</v>
      </c>
      <c r="C9" s="5" t="s">
        <v>534</v>
      </c>
      <c r="D9" s="5" t="s">
        <v>501</v>
      </c>
      <c r="E9" s="5" t="s">
        <v>535</v>
      </c>
      <c r="F9" s="5" t="s">
        <v>533</v>
      </c>
      <c r="G9" s="5"/>
      <c r="H9" s="5" t="s">
        <v>502</v>
      </c>
      <c r="I9" s="6"/>
      <c r="J9" s="6"/>
      <c r="K9" s="6"/>
      <c r="L9" s="6"/>
      <c r="M9" s="6"/>
      <c r="N9" s="6"/>
      <c r="O9" s="5" t="s">
        <v>127</v>
      </c>
      <c r="P9" s="5"/>
    </row>
    <row r="10" customFormat="false" ht="15" hidden="false" customHeight="false" outlineLevel="0" collapsed="false">
      <c r="A10" s="5" t="s">
        <v>536</v>
      </c>
      <c r="B10" s="5" t="s">
        <v>537</v>
      </c>
      <c r="C10" s="5" t="s">
        <v>538</v>
      </c>
      <c r="D10" s="5" t="s">
        <v>501</v>
      </c>
      <c r="E10" s="5" t="s">
        <v>539</v>
      </c>
      <c r="F10" s="5" t="s">
        <v>537</v>
      </c>
      <c r="G10" s="5"/>
      <c r="H10" s="5" t="s">
        <v>502</v>
      </c>
      <c r="I10" s="6"/>
      <c r="J10" s="6"/>
      <c r="K10" s="6"/>
      <c r="L10" s="6"/>
      <c r="M10" s="6"/>
      <c r="N10" s="6"/>
      <c r="O10" s="5" t="s">
        <v>127</v>
      </c>
      <c r="P10" s="5"/>
    </row>
    <row r="11" customFormat="false" ht="15" hidden="false" customHeight="false" outlineLevel="0" collapsed="false">
      <c r="A11" s="5" t="s">
        <v>540</v>
      </c>
      <c r="B11" s="5" t="s">
        <v>126</v>
      </c>
      <c r="C11" s="5" t="s">
        <v>541</v>
      </c>
      <c r="D11" s="5" t="s">
        <v>501</v>
      </c>
      <c r="E11" s="5" t="s">
        <v>542</v>
      </c>
      <c r="F11" s="5" t="s">
        <v>543</v>
      </c>
      <c r="G11" s="5"/>
      <c r="H11" s="5" t="s">
        <v>502</v>
      </c>
      <c r="I11" s="6"/>
      <c r="J11" s="6"/>
      <c r="K11" s="6"/>
      <c r="L11" s="6"/>
      <c r="M11" s="6"/>
      <c r="N11" s="6"/>
      <c r="O11" s="5" t="s">
        <v>127</v>
      </c>
      <c r="P11" s="5"/>
    </row>
    <row r="12" customFormat="false" ht="15" hidden="false" customHeight="false" outlineLevel="0" collapsed="false">
      <c r="A12" s="5" t="s">
        <v>544</v>
      </c>
      <c r="B12" s="5" t="s">
        <v>545</v>
      </c>
      <c r="C12" s="5" t="s">
        <v>546</v>
      </c>
      <c r="D12" s="5" t="s">
        <v>501</v>
      </c>
      <c r="E12" s="5" t="s">
        <v>547</v>
      </c>
      <c r="F12" s="5" t="s">
        <v>548</v>
      </c>
      <c r="G12" s="5"/>
      <c r="H12" s="5" t="s">
        <v>502</v>
      </c>
      <c r="I12" s="6"/>
      <c r="J12" s="6"/>
      <c r="K12" s="6"/>
      <c r="L12" s="6"/>
      <c r="M12" s="6"/>
      <c r="N12" s="6"/>
      <c r="O12" s="5" t="s">
        <v>127</v>
      </c>
      <c r="P12" s="5"/>
    </row>
    <row r="13" customFormat="false" ht="15" hidden="false" customHeight="false" outlineLevel="0" collapsed="false">
      <c r="A13" s="5" t="s">
        <v>549</v>
      </c>
      <c r="B13" s="5" t="s">
        <v>550</v>
      </c>
      <c r="C13" s="5" t="s">
        <v>551</v>
      </c>
      <c r="D13" s="5" t="s">
        <v>501</v>
      </c>
      <c r="E13" s="5" t="s">
        <v>552</v>
      </c>
      <c r="F13" s="5" t="s">
        <v>553</v>
      </c>
      <c r="G13" s="5"/>
      <c r="H13" s="5" t="s">
        <v>502</v>
      </c>
      <c r="I13" s="6"/>
      <c r="J13" s="6"/>
      <c r="K13" s="6"/>
      <c r="L13" s="6"/>
      <c r="M13" s="6"/>
      <c r="N13" s="6"/>
      <c r="O13" s="5" t="s">
        <v>127</v>
      </c>
      <c r="P13" s="5"/>
    </row>
    <row r="14" customFormat="false" ht="15" hidden="false" customHeight="false" outlineLevel="0" collapsed="false">
      <c r="A14" s="5" t="s">
        <v>554</v>
      </c>
      <c r="B14" s="5" t="s">
        <v>553</v>
      </c>
      <c r="C14" s="5"/>
      <c r="D14" s="5" t="s">
        <v>501</v>
      </c>
      <c r="E14" s="5" t="s">
        <v>555</v>
      </c>
      <c r="F14" s="5" t="s">
        <v>553</v>
      </c>
      <c r="G14" s="5"/>
      <c r="H14" s="5" t="s">
        <v>502</v>
      </c>
      <c r="I14" s="6"/>
      <c r="J14" s="6"/>
      <c r="K14" s="6"/>
      <c r="L14" s="6"/>
      <c r="M14" s="6"/>
      <c r="N14" s="6"/>
      <c r="O14" s="5" t="s">
        <v>127</v>
      </c>
      <c r="P14" s="5"/>
    </row>
    <row r="15" customFormat="false" ht="15" hidden="false" customHeight="false" outlineLevel="0" collapsed="false">
      <c r="A15" s="5" t="s">
        <v>556</v>
      </c>
      <c r="B15" s="5" t="s">
        <v>557</v>
      </c>
      <c r="C15" s="5" t="s">
        <v>500</v>
      </c>
      <c r="D15" s="5" t="s">
        <v>501</v>
      </c>
      <c r="E15" s="5" t="s">
        <v>558</v>
      </c>
      <c r="F15" s="5" t="s">
        <v>559</v>
      </c>
      <c r="G15" s="5"/>
      <c r="H15" s="5" t="s">
        <v>502</v>
      </c>
      <c r="I15" s="6"/>
      <c r="J15" s="6"/>
      <c r="K15" s="6"/>
      <c r="L15" s="6"/>
      <c r="M15" s="6"/>
      <c r="N15" s="6"/>
      <c r="O15" s="5" t="s">
        <v>127</v>
      </c>
      <c r="P15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50"/>
  </cols>
  <sheetData>
    <row r="1" customFormat="false" ht="30" hidden="false" customHeight="true" outlineLevel="0" collapsed="false">
      <c r="A1" s="4" t="s">
        <v>484</v>
      </c>
      <c r="B1" s="4" t="s">
        <v>463</v>
      </c>
      <c r="C1" s="4" t="s">
        <v>87</v>
      </c>
      <c r="D1" s="4" t="s">
        <v>47</v>
      </c>
    </row>
    <row r="2" customFormat="false" ht="15" hidden="false" customHeight="false" outlineLevel="0" collapsed="false">
      <c r="A2" s="5" t="s">
        <v>498</v>
      </c>
      <c r="B2" s="5" t="s">
        <v>465</v>
      </c>
      <c r="C2" s="5" t="s">
        <v>125</v>
      </c>
      <c r="D2" s="5"/>
    </row>
    <row r="3" customFormat="false" ht="15" hidden="false" customHeight="false" outlineLevel="0" collapsed="false">
      <c r="A3" s="5" t="s">
        <v>503</v>
      </c>
      <c r="B3" s="5" t="s">
        <v>467</v>
      </c>
      <c r="C3" s="5" t="s">
        <v>125</v>
      </c>
      <c r="D3" s="5"/>
    </row>
    <row r="4" customFormat="false" ht="15" hidden="false" customHeight="false" outlineLevel="0" collapsed="false">
      <c r="A4" s="5" t="s">
        <v>509</v>
      </c>
      <c r="B4" s="5" t="s">
        <v>468</v>
      </c>
      <c r="C4" s="5" t="s">
        <v>125</v>
      </c>
      <c r="D4" s="5"/>
    </row>
    <row r="5" customFormat="false" ht="15" hidden="false" customHeight="false" outlineLevel="0" collapsed="false">
      <c r="A5" s="5" t="s">
        <v>514</v>
      </c>
      <c r="B5" s="5" t="s">
        <v>468</v>
      </c>
      <c r="C5" s="5" t="s">
        <v>125</v>
      </c>
      <c r="D5" s="5"/>
    </row>
    <row r="6" customFormat="false" ht="15" hidden="false" customHeight="false" outlineLevel="0" collapsed="false">
      <c r="A6" s="5" t="s">
        <v>518</v>
      </c>
      <c r="B6" s="5" t="s">
        <v>470</v>
      </c>
      <c r="C6" s="5" t="s">
        <v>125</v>
      </c>
      <c r="D6" s="5"/>
    </row>
    <row r="7" customFormat="false" ht="15" hidden="false" customHeight="false" outlineLevel="0" collapsed="false">
      <c r="A7" s="5" t="s">
        <v>522</v>
      </c>
      <c r="B7" s="5" t="s">
        <v>472</v>
      </c>
      <c r="C7" s="5" t="s">
        <v>125</v>
      </c>
      <c r="D7" s="5"/>
    </row>
    <row r="8" customFormat="false" ht="15" hidden="false" customHeight="false" outlineLevel="0" collapsed="false">
      <c r="A8" s="5" t="s">
        <v>522</v>
      </c>
      <c r="B8" s="5" t="s">
        <v>474</v>
      </c>
      <c r="C8" s="5" t="s">
        <v>125</v>
      </c>
      <c r="D8" s="5"/>
    </row>
    <row r="9" customFormat="false" ht="15" hidden="false" customHeight="false" outlineLevel="0" collapsed="false">
      <c r="A9" s="5" t="s">
        <v>522</v>
      </c>
      <c r="B9" s="5" t="s">
        <v>480</v>
      </c>
      <c r="C9" s="5" t="s">
        <v>125</v>
      </c>
      <c r="D9" s="5"/>
    </row>
    <row r="10" customFormat="false" ht="15" hidden="false" customHeight="false" outlineLevel="0" collapsed="false">
      <c r="A10" s="5" t="s">
        <v>527</v>
      </c>
      <c r="B10" s="5" t="s">
        <v>474</v>
      </c>
      <c r="C10" s="5" t="s">
        <v>125</v>
      </c>
      <c r="D10" s="5"/>
    </row>
    <row r="11" customFormat="false" ht="15" hidden="false" customHeight="false" outlineLevel="0" collapsed="false">
      <c r="A11" s="5" t="s">
        <v>527</v>
      </c>
      <c r="B11" s="5" t="s">
        <v>482</v>
      </c>
      <c r="C11" s="5" t="s">
        <v>125</v>
      </c>
      <c r="D11" s="5"/>
    </row>
    <row r="12" customFormat="false" ht="15" hidden="false" customHeight="false" outlineLevel="0" collapsed="false">
      <c r="A12" s="5" t="s">
        <v>532</v>
      </c>
      <c r="B12" s="5" t="s">
        <v>476</v>
      </c>
      <c r="C12" s="5" t="s">
        <v>125</v>
      </c>
      <c r="D12" s="5"/>
    </row>
    <row r="13" customFormat="false" ht="15" hidden="false" customHeight="false" outlineLevel="0" collapsed="false">
      <c r="A13" s="5" t="s">
        <v>536</v>
      </c>
      <c r="B13" s="5" t="s">
        <v>478</v>
      </c>
      <c r="C13" s="5" t="s">
        <v>125</v>
      </c>
      <c r="D13" s="5"/>
    </row>
    <row r="14" customFormat="false" ht="15" hidden="false" customHeight="false" outlineLevel="0" collapsed="false">
      <c r="A14" s="5" t="s">
        <v>540</v>
      </c>
      <c r="B14" s="5" t="s">
        <v>478</v>
      </c>
      <c r="C14" s="5" t="s">
        <v>125</v>
      </c>
      <c r="D14" s="5"/>
    </row>
    <row r="15" customFormat="false" ht="15" hidden="false" customHeight="false" outlineLevel="0" collapsed="false">
      <c r="A15" s="5" t="s">
        <v>544</v>
      </c>
      <c r="B15" s="5" t="s">
        <v>478</v>
      </c>
      <c r="C15" s="5" t="s">
        <v>125</v>
      </c>
      <c r="D15" s="5"/>
    </row>
    <row r="16" customFormat="false" ht="15" hidden="false" customHeight="false" outlineLevel="0" collapsed="false">
      <c r="A16" s="5" t="s">
        <v>549</v>
      </c>
      <c r="B16" s="5" t="s">
        <v>478</v>
      </c>
      <c r="C16" s="5" t="s">
        <v>125</v>
      </c>
      <c r="D16" s="5"/>
    </row>
    <row r="17" customFormat="false" ht="15" hidden="false" customHeight="false" outlineLevel="0" collapsed="false">
      <c r="A17" s="5" t="s">
        <v>554</v>
      </c>
      <c r="B17" s="5" t="s">
        <v>478</v>
      </c>
      <c r="C17" s="5" t="s">
        <v>125</v>
      </c>
      <c r="D17" s="5"/>
    </row>
    <row r="18" customFormat="false" ht="15" hidden="false" customHeight="false" outlineLevel="0" collapsed="false">
      <c r="A18" s="5" t="s">
        <v>556</v>
      </c>
      <c r="B18" s="5" t="s">
        <v>478</v>
      </c>
      <c r="C18" s="5" t="s">
        <v>125</v>
      </c>
      <c r="D18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30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6" min="6" style="0" width="50"/>
    <col collapsed="false" customWidth="true" hidden="false" outlineLevel="0" max="13" min="7" style="0" width="10"/>
    <col collapsed="false" customWidth="true" hidden="false" outlineLevel="0" max="14" min="14" style="0" width="28"/>
    <col collapsed="false" customWidth="true" hidden="false" outlineLevel="0" max="16" min="15" style="0" width="32"/>
    <col collapsed="false" customWidth="true" hidden="false" outlineLevel="0" max="17" min="17" style="0" width="18"/>
    <col collapsed="false" customWidth="true" hidden="false" outlineLevel="0" max="19" min="18" style="0" width="32"/>
    <col collapsed="false" customWidth="true" hidden="false" outlineLevel="0" max="20" min="20" style="0" width="14"/>
    <col collapsed="false" customWidth="true" hidden="false" outlineLevel="0" max="21" min="21" style="0" width="30"/>
  </cols>
  <sheetData>
    <row r="1" customFormat="false" ht="30" hidden="false" customHeight="true" outlineLevel="0" collapsed="false">
      <c r="A1" s="4" t="s">
        <v>560</v>
      </c>
      <c r="B1" s="4" t="s">
        <v>87</v>
      </c>
      <c r="C1" s="4" t="s">
        <v>561</v>
      </c>
      <c r="D1" s="4" t="s">
        <v>562</v>
      </c>
      <c r="E1" s="4" t="s">
        <v>563</v>
      </c>
      <c r="F1" s="4" t="s">
        <v>564</v>
      </c>
      <c r="G1" s="4" t="s">
        <v>565</v>
      </c>
      <c r="H1" s="4" t="s">
        <v>566</v>
      </c>
      <c r="I1" s="4" t="s">
        <v>567</v>
      </c>
      <c r="J1" s="4" t="s">
        <v>568</v>
      </c>
      <c r="K1" s="4" t="s">
        <v>569</v>
      </c>
      <c r="L1" s="4" t="s">
        <v>570</v>
      </c>
      <c r="M1" s="4" t="s">
        <v>571</v>
      </c>
      <c r="N1" s="4" t="s">
        <v>572</v>
      </c>
      <c r="O1" s="4" t="s">
        <v>573</v>
      </c>
      <c r="P1" s="4" t="s">
        <v>574</v>
      </c>
      <c r="Q1" s="4" t="s">
        <v>575</v>
      </c>
      <c r="R1" s="4" t="s">
        <v>576</v>
      </c>
      <c r="S1" s="4" t="s">
        <v>577</v>
      </c>
      <c r="T1" s="4" t="s">
        <v>97</v>
      </c>
      <c r="U1" s="4" t="s">
        <v>47</v>
      </c>
    </row>
    <row r="2" customFormat="false" ht="46.25" hidden="false" customHeight="false" outlineLevel="0" collapsed="false">
      <c r="A2" s="5" t="s">
        <v>578</v>
      </c>
      <c r="B2" s="5" t="s">
        <v>125</v>
      </c>
      <c r="C2" s="5" t="s">
        <v>133</v>
      </c>
      <c r="D2" s="5" t="s">
        <v>579</v>
      </c>
      <c r="E2" s="5" t="s">
        <v>580</v>
      </c>
      <c r="F2" s="5" t="s">
        <v>581</v>
      </c>
      <c r="G2" s="5" t="s">
        <v>582</v>
      </c>
      <c r="H2" s="5" t="s">
        <v>583</v>
      </c>
      <c r="I2" s="5" t="s">
        <v>582</v>
      </c>
      <c r="J2" s="5" t="s">
        <v>583</v>
      </c>
      <c r="K2" s="5" t="s">
        <v>582</v>
      </c>
      <c r="L2" s="5" t="s">
        <v>582</v>
      </c>
      <c r="M2" s="5" t="s">
        <v>582</v>
      </c>
      <c r="N2" s="5"/>
      <c r="O2" s="5" t="s">
        <v>584</v>
      </c>
      <c r="P2" s="5" t="s">
        <v>585</v>
      </c>
      <c r="Q2" s="5" t="s">
        <v>586</v>
      </c>
      <c r="R2" s="5" t="s">
        <v>587</v>
      </c>
      <c r="S2" s="5" t="s">
        <v>588</v>
      </c>
      <c r="T2" s="5" t="s">
        <v>134</v>
      </c>
      <c r="U2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18"/>
    <col collapsed="false" customWidth="true" hidden="false" outlineLevel="0" max="4" min="4" style="0" width="28"/>
    <col collapsed="false" customWidth="true" hidden="false" outlineLevel="0" max="5" min="5" style="0" width="18"/>
    <col collapsed="false" customWidth="true" hidden="false" outlineLevel="0" max="6" min="6" style="0" width="34"/>
    <col collapsed="false" customWidth="true" hidden="false" outlineLevel="0" max="7" min="7" style="0" width="30"/>
  </cols>
  <sheetData>
    <row r="1" customFormat="false" ht="30" hidden="false" customHeight="true" outlineLevel="0" collapsed="false">
      <c r="A1" s="4" t="s">
        <v>589</v>
      </c>
      <c r="B1" s="4" t="s">
        <v>560</v>
      </c>
      <c r="C1" s="4" t="s">
        <v>590</v>
      </c>
      <c r="D1" s="4" t="s">
        <v>591</v>
      </c>
      <c r="E1" s="4" t="s">
        <v>575</v>
      </c>
      <c r="F1" s="4" t="s">
        <v>576</v>
      </c>
      <c r="G1" s="4" t="s">
        <v>47</v>
      </c>
    </row>
    <row r="2" customFormat="false" ht="15" hidden="false" customHeight="false" outlineLevel="0" collapsed="false">
      <c r="A2" s="5" t="s">
        <v>592</v>
      </c>
      <c r="B2" s="5" t="s">
        <v>578</v>
      </c>
      <c r="C2" s="5" t="s">
        <v>593</v>
      </c>
      <c r="D2" s="5" t="s">
        <v>594</v>
      </c>
      <c r="E2" s="5"/>
      <c r="F2" s="5"/>
      <c r="G2" s="5"/>
    </row>
    <row r="3" customFormat="false" ht="15" hidden="false" customHeight="false" outlineLevel="0" collapsed="false">
      <c r="A3" s="5" t="s">
        <v>595</v>
      </c>
      <c r="B3" s="5" t="s">
        <v>578</v>
      </c>
      <c r="C3" s="5" t="s">
        <v>596</v>
      </c>
      <c r="D3" s="5" t="s">
        <v>597</v>
      </c>
      <c r="E3" s="5"/>
      <c r="F3" s="5"/>
      <c r="G3" s="5"/>
    </row>
    <row r="4" customFormat="false" ht="35.05" hidden="false" customHeight="false" outlineLevel="0" collapsed="false">
      <c r="A4" s="5" t="s">
        <v>598</v>
      </c>
      <c r="B4" s="5" t="s">
        <v>578</v>
      </c>
      <c r="C4" s="5" t="s">
        <v>599</v>
      </c>
      <c r="D4" s="5"/>
      <c r="E4" s="5"/>
      <c r="F4" s="5"/>
      <c r="G4" s="5" t="s">
        <v>600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5" min="4" style="0" width="11"/>
    <col collapsed="false" customWidth="true" hidden="false" outlineLevel="0" max="6" min="6" style="0" width="40"/>
    <col collapsed="false" customWidth="true" hidden="false" outlineLevel="0" max="7" min="7" style="0" width="44"/>
    <col collapsed="false" customWidth="true" hidden="false" outlineLevel="0" max="8" min="8" style="0" width="9"/>
    <col collapsed="false" customWidth="true" hidden="false" outlineLevel="0" max="9" min="9" style="0" width="24"/>
    <col collapsed="false" customWidth="true" hidden="false" outlineLevel="0" max="10" min="10" style="0" width="20"/>
    <col collapsed="false" customWidth="true" hidden="false" outlineLevel="0" max="11" min="11" style="0" width="26"/>
    <col collapsed="false" customWidth="true" hidden="false" outlineLevel="0" max="12" min="12" style="0" width="16"/>
    <col collapsed="false" customWidth="true" hidden="false" outlineLevel="0" max="14" min="13" style="0" width="30"/>
    <col collapsed="false" customWidth="true" hidden="false" outlineLevel="0" max="15" min="15" style="0" width="22"/>
    <col collapsed="false" customWidth="true" hidden="false" outlineLevel="0" max="16" min="16" style="0" width="36"/>
    <col collapsed="false" customWidth="true" hidden="false" outlineLevel="0" max="17" min="17" style="0" width="80"/>
  </cols>
  <sheetData>
    <row r="1" customFormat="false" ht="30" hidden="false" customHeight="true" outlineLevel="0" collapsed="false">
      <c r="A1" s="4" t="s">
        <v>484</v>
      </c>
      <c r="B1" s="4" t="s">
        <v>485</v>
      </c>
      <c r="C1" s="4" t="s">
        <v>486</v>
      </c>
      <c r="D1" s="4" t="s">
        <v>492</v>
      </c>
      <c r="E1" s="4" t="s">
        <v>493</v>
      </c>
      <c r="F1" s="4" t="s">
        <v>601</v>
      </c>
      <c r="G1" s="4" t="s">
        <v>602</v>
      </c>
      <c r="H1" s="4" t="s">
        <v>87</v>
      </c>
      <c r="I1" s="4" t="s">
        <v>88</v>
      </c>
      <c r="J1" s="4" t="s">
        <v>603</v>
      </c>
      <c r="K1" s="4" t="s">
        <v>604</v>
      </c>
      <c r="L1" s="4" t="s">
        <v>605</v>
      </c>
      <c r="M1" s="4" t="s">
        <v>606</v>
      </c>
      <c r="N1" s="4" t="s">
        <v>607</v>
      </c>
      <c r="O1" s="4" t="s">
        <v>608</v>
      </c>
      <c r="P1" s="4" t="s">
        <v>46</v>
      </c>
      <c r="Q1" s="4" t="s">
        <v>609</v>
      </c>
    </row>
    <row r="2" customFormat="false" ht="46.25" hidden="false" customHeight="false" outlineLevel="0" collapsed="false">
      <c r="A2" s="3" t="str">
        <f aca="false">Marae!A2</f>
        <v>M0001</v>
      </c>
      <c r="B2" s="3" t="str">
        <f aca="false">Marae!B2</f>
        <v>Pātaua</v>
      </c>
      <c r="C2" s="3" t="str">
        <f aca="false">Marae!C2</f>
        <v>*No wharenui*</v>
      </c>
      <c r="D2" s="3" t="str">
        <f aca="false">IF(Marae!I2="","",Marae!I2)</f>
        <v/>
      </c>
      <c r="E2" s="3" t="str">
        <f aca="false">IF(Marae!J2="","",Marae!J2)</f>
        <v/>
      </c>
      <c r="F2" s="3" t="str">
        <f aca="false">TRIM(Marae!E2&amp;" "&amp;Marae!F2)</f>
        <v>Pātaua</v>
      </c>
      <c r="G2" s="3" t="str">
        <f aca="false" t="array" ref="G2:G2">_xlfn.TEXTJOIN("; ",TRUE(),IF(Marae_Hapu!$A$2:$A$500=A2,IFERROR(INDEX(Hapu!$B$2:$B$500,MATCH(Marae_Hapu!$B$2:$B$500,Hapu!$A$2:$A$500,0)),""),""))</f>
        <v>Ngāti Kororā</v>
      </c>
      <c r="H2" s="3" t="str">
        <f aca="false">IFERROR(INDEX(Marae_Hapu!$C$2:$C$500,MATCH(A2,Marae_Hapu!$A$2:$A$500,0)),"")</f>
        <v>I010</v>
      </c>
      <c r="I2" s="3" t="str">
        <f aca="false">IFERROR(INDEX(Iwi!$B$2:$B$500,MATCH(H2,Iwi!$A$2:$A$500,0)),"")</f>
        <v>Ngātiwai</v>
      </c>
      <c r="J2" s="3" t="str">
        <f aca="false">IFERROR(INDEX(Region!$B$2:$B$50,MATCH(INDEX(Iwi!$C$2:$C$500,MATCH(H2,Iwi!$A$2:$A$500,0)),Region!$A$2:$A$50,0)),"")</f>
        <v>Te Tai Tokerau</v>
      </c>
      <c r="K2" s="3" t="str">
        <f aca="false">IFERROR(INDEX(Representative_Org!$C$2:$C$500,MATCH(H2,Representative_Org!$B$2:$B$500,0)),"")</f>
        <v>Ngātiwai Trust</v>
      </c>
      <c r="L2" s="3" t="str">
        <f aca="false">IFERROR(INDEX(Representative_Org!$Q$2:$Q$500,MATCH(H2,Representative_Org!$B$2:$B$500,0)),"")</f>
        <v>09 430 0939</v>
      </c>
      <c r="M2" s="3" t="str">
        <f aca="false">IFERROR(INDEX(Representative_Org!$R$2:$R$500,MATCH(H2,Representative_Org!$B$2:$B$500,0)),"")</f>
        <v>ngatiwai@ngatiwai.iwi.nz</v>
      </c>
      <c r="N2" s="3" t="str">
        <f aca="false">IFERROR(INDEX(Representative_Org!$S$2:$S$500,MATCH(H2,Representative_Org!$B$2:$B$500,0)),"")</f>
        <v>https://www.ngatiwai.iwi.nz</v>
      </c>
      <c r="O2" s="3" t="str">
        <f aca="false">IFERROR(INDEX(Contact!$D$2:$D$500,MATCH(1,INDEX((Contact!$C$2:$C$500="Chair")*(Contact!$B$2:$B$500=IFERROR(INDEX(Representative_Org!$A$2:$A$500,MATCH(H2,Representative_Org!$B$2:$B$500,0)),"")),0),0)),"")</f>
        <v>Aperahama Edwards</v>
      </c>
      <c r="P2" s="3" t="str">
        <f aca="false">Marae!O2</f>
        <v>https://www.tkm.govt.nz/iwi/ngatiwai/</v>
      </c>
      <c r="Q2" s="3" t="str">
        <f aca="false">"&lt;b&gt;"&amp;B2&amp;"&lt;/b&gt;"&amp;IF(C2="","","&lt;br&gt;Wharenui: "&amp;C2)&amp;"&lt;br&gt;"&amp;F2&amp;"&lt;br&gt;&lt;b&gt;Hapū:&lt;/b&gt; "&amp;G2&amp;"&lt;br&gt;&lt;b&gt;Iwi:&lt;/b&gt; "&amp;I2&amp;" ("&amp;J2&amp;")"&amp;"&lt;br&gt;&lt;b&gt;Representative:&lt;/b&gt; "&amp;K2&amp;IF(O2="","","&lt;br&gt;Chair: "&amp;O2)&amp;IF(L2="","","&lt;br&gt;Ph: "&amp;L2)&amp;IF(M2="","","&lt;br&gt;Email: "&amp;M2)&amp;IF(N2="","","&lt;br&gt;&lt;a href="""&amp;N2&amp;"""&gt;Website&lt;/a&gt;")</f>
        <v>&lt;b&gt;Pātaua&lt;/b&gt;&lt;br&gt;Wharenui: *No wharenui*&lt;br&gt;Pātaua&lt;br&gt;&lt;b&gt;Hapū:&lt;/b&gt; Ngāti Kororā&lt;br&gt;&lt;b&gt;Iwi:&lt;/b&gt;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3" customFormat="false" ht="46.25" hidden="false" customHeight="false" outlineLevel="0" collapsed="false">
      <c r="A3" s="3" t="str">
        <f aca="false">Marae!A3</f>
        <v>M0002</v>
      </c>
      <c r="B3" s="3" t="str">
        <f aca="false">Marae!B3</f>
        <v>Ōmaha</v>
      </c>
      <c r="C3" s="3" t="str">
        <f aca="false">Marae!C3</f>
        <v>Te Kiri</v>
      </c>
      <c r="D3" s="3" t="str">
        <f aca="false">IF(Marae!I3="","",Marae!I3)</f>
        <v/>
      </c>
      <c r="E3" s="3" t="str">
        <f aca="false">IF(Marae!J3="","",Marae!J3)</f>
        <v/>
      </c>
      <c r="F3" s="3" t="str">
        <f aca="false">TRIM(Marae!E3&amp;" "&amp;Marae!F3)</f>
        <v>Ōmaha Block Access Road Leigh</v>
      </c>
      <c r="G3" s="3" t="str">
        <f aca="false" t="array" ref="G3:G3">_xlfn.TEXTJOIN("; ",TRUE(),IF(Marae_Hapu!$A$2:$A$500=A3,IFERROR(INDEX(Hapu!$B$2:$B$500,MATCH(Marae_Hapu!$B$2:$B$500,Hapu!$A$2:$A$500,0)),""),""))</f>
        <v>Ngāti Manuhiri</v>
      </c>
      <c r="H3" s="3" t="str">
        <f aca="false">IFERROR(INDEX(Marae_Hapu!$C$2:$C$500,MATCH(A3,Marae_Hapu!$A$2:$A$500,0)),"")</f>
        <v>I010</v>
      </c>
      <c r="I3" s="3" t="str">
        <f aca="false">IFERROR(INDEX(Iwi!$B$2:$B$500,MATCH(H3,Iwi!$A$2:$A$500,0)),"")</f>
        <v>Ngātiwai</v>
      </c>
      <c r="J3" s="3" t="str">
        <f aca="false">IFERROR(INDEX(Region!$B$2:$B$50,MATCH(INDEX(Iwi!$C$2:$C$500,MATCH(H3,Iwi!$A$2:$A$500,0)),Region!$A$2:$A$50,0)),"")</f>
        <v>Te Tai Tokerau</v>
      </c>
      <c r="K3" s="3" t="str">
        <f aca="false">IFERROR(INDEX(Representative_Org!$C$2:$C$500,MATCH(H3,Representative_Org!$B$2:$B$500,0)),"")</f>
        <v>Ngātiwai Trust</v>
      </c>
      <c r="L3" s="3" t="str">
        <f aca="false">IFERROR(INDEX(Representative_Org!$Q$2:$Q$500,MATCH(H3,Representative_Org!$B$2:$B$500,0)),"")</f>
        <v>09 430 0939</v>
      </c>
      <c r="M3" s="3" t="str">
        <f aca="false">IFERROR(INDEX(Representative_Org!$R$2:$R$500,MATCH(H3,Representative_Org!$B$2:$B$500,0)),"")</f>
        <v>ngatiwai@ngatiwai.iwi.nz</v>
      </c>
      <c r="N3" s="3" t="str">
        <f aca="false">IFERROR(INDEX(Representative_Org!$S$2:$S$500,MATCH(H3,Representative_Org!$B$2:$B$500,0)),"")</f>
        <v>https://www.ngatiwai.iwi.nz</v>
      </c>
      <c r="O3" s="3" t="str">
        <f aca="false">IFERROR(INDEX(Contact!$D$2:$D$500,MATCH(1,INDEX((Contact!$C$2:$C$500="Chair")*(Contact!$B$2:$B$500=IFERROR(INDEX(Representative_Org!$A$2:$A$500,MATCH(H3,Representative_Org!$B$2:$B$500,0)),"")),0),0)),"")</f>
        <v>Aperahama Edwards</v>
      </c>
      <c r="P3" s="3" t="str">
        <f aca="false">Marae!O3</f>
        <v>https://www.tkm.govt.nz/iwi/ngatiwai/</v>
      </c>
      <c r="Q3" s="3" t="str">
        <f aca="false">"&lt;b&gt;"&amp;B3&amp;"&lt;/b&gt;"&amp;IF(C3="","","&lt;br&gt;Wharenui: "&amp;C3)&amp;"&lt;br&gt;"&amp;F3&amp;"&lt;br&gt;&lt;b&gt;Hapū:&lt;/b&gt; "&amp;G3&amp;"&lt;br&gt;&lt;b&gt;Iwi:&lt;/b&gt; "&amp;I3&amp;" ("&amp;J3&amp;")"&amp;"&lt;br&gt;&lt;b&gt;Representative:&lt;/b&gt; "&amp;K3&amp;IF(O3="","","&lt;br&gt;Chair: "&amp;O3)&amp;IF(L3="","","&lt;br&gt;Ph: "&amp;L3)&amp;IF(M3="","","&lt;br&gt;Email: "&amp;M3)&amp;IF(N3="","","&lt;br&gt;&lt;a href="""&amp;N3&amp;"""&gt;Website&lt;/a&gt;")</f>
        <v>&lt;b&gt;Ōmaha&lt;/b&gt;&lt;br&gt;Wharenui: Te Kiri&lt;br&gt;Ōmaha Block Access Road Leigh&lt;br&gt;&lt;b&gt;Hapū:&lt;/b&gt; Ngāti Manuhiri&lt;br&gt;&lt;b&gt;Iwi:&lt;/b&gt;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4" customFormat="false" ht="57.45" hidden="false" customHeight="false" outlineLevel="0" collapsed="false">
      <c r="A4" s="3" t="str">
        <f aca="false">Marae!A4</f>
        <v>M0003</v>
      </c>
      <c r="B4" s="3" t="str">
        <f aca="false">Marae!B4</f>
        <v>Kawa</v>
      </c>
      <c r="C4" s="3" t="str">
        <f aca="false">Marae!C4</f>
        <v>Rehua</v>
      </c>
      <c r="D4" s="3" t="str">
        <f aca="false">IF(Marae!I4="","",Marae!I4)</f>
        <v/>
      </c>
      <c r="E4" s="3" t="str">
        <f aca="false">IF(Marae!J4="","",Marae!J4)</f>
        <v/>
      </c>
      <c r="F4" s="3" t="str">
        <f aca="false">TRIM(Marae!E4&amp;" "&amp;Marae!F4)</f>
        <v>Kawa Road, Kawa Bay Aotea / Great Barrier Island</v>
      </c>
      <c r="G4" s="3" t="str">
        <f aca="false" t="array" ref="G4:G4">_xlfn.TEXTJOIN("; ",TRUE(),IF(Marae_Hapu!$A$2:$A$500=A4,IFERROR(INDEX(Hapu!$B$2:$B$500,MATCH(Marae_Hapu!$B$2:$B$500,Hapu!$A$2:$A$500,0)),""),""))</f>
        <v>Ngāti Rēhua</v>
      </c>
      <c r="H4" s="3" t="str">
        <f aca="false">IFERROR(INDEX(Marae_Hapu!$C$2:$C$500,MATCH(A4,Marae_Hapu!$A$2:$A$500,0)),"")</f>
        <v>I010</v>
      </c>
      <c r="I4" s="3" t="str">
        <f aca="false">IFERROR(INDEX(Iwi!$B$2:$B$500,MATCH(H4,Iwi!$A$2:$A$500,0)),"")</f>
        <v>Ngātiwai</v>
      </c>
      <c r="J4" s="3" t="str">
        <f aca="false">IFERROR(INDEX(Region!$B$2:$B$50,MATCH(INDEX(Iwi!$C$2:$C$500,MATCH(H4,Iwi!$A$2:$A$500,0)),Region!$A$2:$A$50,0)),"")</f>
        <v>Te Tai Tokerau</v>
      </c>
      <c r="K4" s="3" t="str">
        <f aca="false">IFERROR(INDEX(Representative_Org!$C$2:$C$500,MATCH(H4,Representative_Org!$B$2:$B$500,0)),"")</f>
        <v>Ngātiwai Trust</v>
      </c>
      <c r="L4" s="3" t="str">
        <f aca="false">IFERROR(INDEX(Representative_Org!$Q$2:$Q$500,MATCH(H4,Representative_Org!$B$2:$B$500,0)),"")</f>
        <v>09 430 0939</v>
      </c>
      <c r="M4" s="3" t="str">
        <f aca="false">IFERROR(INDEX(Representative_Org!$R$2:$R$500,MATCH(H4,Representative_Org!$B$2:$B$500,0)),"")</f>
        <v>ngatiwai@ngatiwai.iwi.nz</v>
      </c>
      <c r="N4" s="3" t="str">
        <f aca="false">IFERROR(INDEX(Representative_Org!$S$2:$S$500,MATCH(H4,Representative_Org!$B$2:$B$500,0)),"")</f>
        <v>https://www.ngatiwai.iwi.nz</v>
      </c>
      <c r="O4" s="3" t="str">
        <f aca="false">IFERROR(INDEX(Contact!$D$2:$D$500,MATCH(1,INDEX((Contact!$C$2:$C$500="Chair")*(Contact!$B$2:$B$500=IFERROR(INDEX(Representative_Org!$A$2:$A$500,MATCH(H4,Representative_Org!$B$2:$B$500,0)),"")),0),0)),"")</f>
        <v>Aperahama Edwards</v>
      </c>
      <c r="P4" s="3" t="str">
        <f aca="false">Marae!O4</f>
        <v>https://www.tkm.govt.nz/iwi/ngatiwai/</v>
      </c>
      <c r="Q4" s="3" t="str">
        <f aca="false">"&lt;b&gt;"&amp;B4&amp;"&lt;/b&gt;"&amp;IF(C4="","","&lt;br&gt;Wharenui: "&amp;C4)&amp;"&lt;br&gt;"&amp;F4&amp;"&lt;br&gt;&lt;b&gt;Hapū:&lt;/b&gt; "&amp;G4&amp;"&lt;br&gt;&lt;b&gt;Iwi:&lt;/b&gt; "&amp;I4&amp;" ("&amp;J4&amp;")"&amp;"&lt;br&gt;&lt;b&gt;Representative:&lt;/b&gt; "&amp;K4&amp;IF(O4="","","&lt;br&gt;Chair: "&amp;O4)&amp;IF(L4="","","&lt;br&gt;Ph: "&amp;L4)&amp;IF(M4="","","&lt;br&gt;Email: "&amp;M4)&amp;IF(N4="","","&lt;br&gt;&lt;a href="""&amp;N4&amp;"""&gt;Website&lt;/a&gt;")</f>
        <v>&lt;b&gt;Kawa&lt;/b&gt;&lt;br&gt;Wharenui: Rehua&lt;br&gt;Kawa Road, Kawa Bay Aotea / Great Barrier Island&lt;br&gt;&lt;b&gt;Hapū:&lt;/b&gt; Ngāti Rēhua&lt;br&gt;&lt;b&gt;Iwi:&lt;/b&gt;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5" customFormat="false" ht="57.45" hidden="false" customHeight="false" outlineLevel="0" collapsed="false">
      <c r="A5" s="3" t="str">
        <f aca="false">Marae!A5</f>
        <v>M0004</v>
      </c>
      <c r="B5" s="3" t="str">
        <f aca="false">Marae!B5</f>
        <v>Motairehe</v>
      </c>
      <c r="C5" s="3" t="str">
        <f aca="false">Marae!C5</f>
        <v>Whakaruruhau</v>
      </c>
      <c r="D5" s="3" t="str">
        <f aca="false">IF(Marae!I5="","",Marae!I5)</f>
        <v/>
      </c>
      <c r="E5" s="3" t="str">
        <f aca="false">IF(Marae!J5="","",Marae!J5)</f>
        <v/>
      </c>
      <c r="F5" s="3" t="str">
        <f aca="false">TRIM(Marae!E5&amp;" "&amp;Marae!F5)</f>
        <v>Motairehe Road Aotea / Great Barrier Island</v>
      </c>
      <c r="G5" s="3" t="str">
        <f aca="false" t="array" ref="G5:G5">_xlfn.TEXTJOIN("; ",TRUE(),IF(Marae_Hapu!$A$2:$A$500=A5,IFERROR(INDEX(Hapu!$B$2:$B$500,MATCH(Marae_Hapu!$B$2:$B$500,Hapu!$A$2:$A$500,0)),""),""))</f>
        <v>Ngāti Rēhua</v>
      </c>
      <c r="H5" s="3" t="str">
        <f aca="false">IFERROR(INDEX(Marae_Hapu!$C$2:$C$500,MATCH(A5,Marae_Hapu!$A$2:$A$500,0)),"")</f>
        <v>I010</v>
      </c>
      <c r="I5" s="3" t="str">
        <f aca="false">IFERROR(INDEX(Iwi!$B$2:$B$500,MATCH(H5,Iwi!$A$2:$A$500,0)),"")</f>
        <v>Ngātiwai</v>
      </c>
      <c r="J5" s="3" t="str">
        <f aca="false">IFERROR(INDEX(Region!$B$2:$B$50,MATCH(INDEX(Iwi!$C$2:$C$500,MATCH(H5,Iwi!$A$2:$A$500,0)),Region!$A$2:$A$50,0)),"")</f>
        <v>Te Tai Tokerau</v>
      </c>
      <c r="K5" s="3" t="str">
        <f aca="false">IFERROR(INDEX(Representative_Org!$C$2:$C$500,MATCH(H5,Representative_Org!$B$2:$B$500,0)),"")</f>
        <v>Ngātiwai Trust</v>
      </c>
      <c r="L5" s="3" t="str">
        <f aca="false">IFERROR(INDEX(Representative_Org!$Q$2:$Q$500,MATCH(H5,Representative_Org!$B$2:$B$500,0)),"")</f>
        <v>09 430 0939</v>
      </c>
      <c r="M5" s="3" t="str">
        <f aca="false">IFERROR(INDEX(Representative_Org!$R$2:$R$500,MATCH(H5,Representative_Org!$B$2:$B$500,0)),"")</f>
        <v>ngatiwai@ngatiwai.iwi.nz</v>
      </c>
      <c r="N5" s="3" t="str">
        <f aca="false">IFERROR(INDEX(Representative_Org!$S$2:$S$500,MATCH(H5,Representative_Org!$B$2:$B$500,0)),"")</f>
        <v>https://www.ngatiwai.iwi.nz</v>
      </c>
      <c r="O5" s="3" t="str">
        <f aca="false">IFERROR(INDEX(Contact!$D$2:$D$500,MATCH(1,INDEX((Contact!$C$2:$C$500="Chair")*(Contact!$B$2:$B$500=IFERROR(INDEX(Representative_Org!$A$2:$A$500,MATCH(H5,Representative_Org!$B$2:$B$500,0)),"")),0),0)),"")</f>
        <v>Aperahama Edwards</v>
      </c>
      <c r="P5" s="3" t="str">
        <f aca="false">Marae!O5</f>
        <v>https://www.tkm.govt.nz/iwi/ngatiwai/</v>
      </c>
      <c r="Q5" s="3" t="str">
        <f aca="false">"&lt;b&gt;"&amp;B5&amp;"&lt;/b&gt;"&amp;IF(C5="","","&lt;br&gt;Wharenui: "&amp;C5)&amp;"&lt;br&gt;"&amp;F5&amp;"&lt;br&gt;&lt;b&gt;Hapū:&lt;/b&gt; "&amp;G5&amp;"&lt;br&gt;&lt;b&gt;Iwi:&lt;/b&gt; "&amp;I5&amp;" ("&amp;J5&amp;")"&amp;"&lt;br&gt;&lt;b&gt;Representative:&lt;/b&gt; "&amp;K5&amp;IF(O5="","","&lt;br&gt;Chair: "&amp;O5)&amp;IF(L5="","","&lt;br&gt;Ph: "&amp;L5)&amp;IF(M5="","","&lt;br&gt;Email: "&amp;M5)&amp;IF(N5="","","&lt;br&gt;&lt;a href="""&amp;N5&amp;"""&gt;Website&lt;/a&gt;")</f>
        <v>&lt;b&gt;Motairehe&lt;/b&gt;&lt;br&gt;Wharenui: Whakaruruhau&lt;br&gt;Motairehe Road Aotea / Great Barrier Island&lt;br&gt;&lt;b&gt;Hapū:&lt;/b&gt; Ngāti Rēhua&lt;br&gt;&lt;b&gt;Iwi:&lt;/b&gt;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6" customFormat="false" ht="57.45" hidden="false" customHeight="false" outlineLevel="0" collapsed="false">
      <c r="A6" s="3" t="str">
        <f aca="false">Marae!A6</f>
        <v>M0005</v>
      </c>
      <c r="B6" s="3" t="str">
        <f aca="false">Marae!B6</f>
        <v>Ngunguru</v>
      </c>
      <c r="C6" s="3" t="str">
        <f aca="false">Marae!C6</f>
        <v>Paratene te Manu</v>
      </c>
      <c r="D6" s="3" t="str">
        <f aca="false">IF(Marae!I6="","",Marae!I6)</f>
        <v/>
      </c>
      <c r="E6" s="3" t="str">
        <f aca="false">IF(Marae!J6="","",Marae!J6)</f>
        <v/>
      </c>
      <c r="F6" s="3" t="str">
        <f aca="false">TRIM(Marae!E6&amp;" "&amp;Marae!F6)</f>
        <v>60 Waiotoi Road Ngunguru</v>
      </c>
      <c r="G6" s="3" t="str">
        <f aca="false" t="array" ref="G6:G6">_xlfn.TEXTJOIN("; ",TRUE(),IF(Marae_Hapu!$A$2:$A$500=A6,IFERROR(INDEX(Hapu!$B$2:$B$500,MATCH(Marae_Hapu!$B$2:$B$500,Hapu!$A$2:$A$500,0)),""),""))</f>
        <v>Ngāti Takapari</v>
      </c>
      <c r="H6" s="3" t="str">
        <f aca="false">IFERROR(INDEX(Marae_Hapu!$C$2:$C$500,MATCH(A6,Marae_Hapu!$A$2:$A$500,0)),"")</f>
        <v>I010</v>
      </c>
      <c r="I6" s="3" t="str">
        <f aca="false">IFERROR(INDEX(Iwi!$B$2:$B$500,MATCH(H6,Iwi!$A$2:$A$500,0)),"")</f>
        <v>Ngātiwai</v>
      </c>
      <c r="J6" s="3" t="str">
        <f aca="false">IFERROR(INDEX(Region!$B$2:$B$50,MATCH(INDEX(Iwi!$C$2:$C$500,MATCH(H6,Iwi!$A$2:$A$500,0)),Region!$A$2:$A$50,0)),"")</f>
        <v>Te Tai Tokerau</v>
      </c>
      <c r="K6" s="3" t="str">
        <f aca="false">IFERROR(INDEX(Representative_Org!$C$2:$C$500,MATCH(H6,Representative_Org!$B$2:$B$500,0)),"")</f>
        <v>Ngātiwai Trust</v>
      </c>
      <c r="L6" s="3" t="str">
        <f aca="false">IFERROR(INDEX(Representative_Org!$Q$2:$Q$500,MATCH(H6,Representative_Org!$B$2:$B$500,0)),"")</f>
        <v>09 430 0939</v>
      </c>
      <c r="M6" s="3" t="str">
        <f aca="false">IFERROR(INDEX(Representative_Org!$R$2:$R$500,MATCH(H6,Representative_Org!$B$2:$B$500,0)),"")</f>
        <v>ngatiwai@ngatiwai.iwi.nz</v>
      </c>
      <c r="N6" s="3" t="str">
        <f aca="false">IFERROR(INDEX(Representative_Org!$S$2:$S$500,MATCH(H6,Representative_Org!$B$2:$B$500,0)),"")</f>
        <v>https://www.ngatiwai.iwi.nz</v>
      </c>
      <c r="O6" s="3" t="str">
        <f aca="false">IFERROR(INDEX(Contact!$D$2:$D$500,MATCH(1,INDEX((Contact!$C$2:$C$500="Chair")*(Contact!$B$2:$B$500=IFERROR(INDEX(Representative_Org!$A$2:$A$500,MATCH(H6,Representative_Org!$B$2:$B$500,0)),"")),0),0)),"")</f>
        <v>Aperahama Edwards</v>
      </c>
      <c r="P6" s="3" t="str">
        <f aca="false">Marae!O6</f>
        <v>https://www.tkm.govt.nz/iwi/ngatiwai/</v>
      </c>
      <c r="Q6" s="3" t="str">
        <f aca="false">"&lt;b&gt;"&amp;B6&amp;"&lt;/b&gt;"&amp;IF(C6="","","&lt;br&gt;Wharenui: "&amp;C6)&amp;"&lt;br&gt;"&amp;F6&amp;"&lt;br&gt;&lt;b&gt;Hapū:&lt;/b&gt; "&amp;G6&amp;"&lt;br&gt;&lt;b&gt;Iwi:&lt;/b&gt; "&amp;I6&amp;" ("&amp;J6&amp;")"&amp;"&lt;br&gt;&lt;b&gt;Representative:&lt;/b&gt; "&amp;K6&amp;IF(O6="","","&lt;br&gt;Chair: "&amp;O6)&amp;IF(L6="","","&lt;br&gt;Ph: "&amp;L6)&amp;IF(M6="","","&lt;br&gt;Email: "&amp;M6)&amp;IF(N6="","","&lt;br&gt;&lt;a href="""&amp;N6&amp;"""&gt;Website&lt;/a&gt;")</f>
        <v>&lt;b&gt;Ngunguru&lt;/b&gt;&lt;br&gt;Wharenui: Paratene te Manu&lt;br&gt;60 Waiotoi Road Ngunguru&lt;br&gt;&lt;b&gt;Hapū:&lt;/b&gt; Ngāti Takapari&lt;br&gt;&lt;b&gt;Iwi:&lt;/b&gt;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7" customFormat="false" ht="57.45" hidden="false" customHeight="false" outlineLevel="0" collapsed="false">
      <c r="A7" s="3" t="str">
        <f aca="false">Marae!A7</f>
        <v>M0006</v>
      </c>
      <c r="B7" s="3" t="str">
        <f aca="false">Marae!B7</f>
        <v>Matapōuri</v>
      </c>
      <c r="C7" s="3" t="str">
        <f aca="false">Marae!C7</f>
        <v>Te Tokomanawa o te Aroha</v>
      </c>
      <c r="D7" s="3" t="str">
        <f aca="false">IF(Marae!I7="","",Marae!I7)</f>
        <v/>
      </c>
      <c r="E7" s="3" t="str">
        <f aca="false">IF(Marae!J7="","",Marae!J7)</f>
        <v/>
      </c>
      <c r="F7" s="3" t="str">
        <f aca="false">TRIM(Marae!E7&amp;" "&amp;Marae!F7)</f>
        <v>7 Mackie Place Matapōuri Bay</v>
      </c>
      <c r="G7" s="3" t="str">
        <f aca="false" t="array" ref="G7:G7">_xlfn.TEXTJOIN("; ",TRUE(),IF(Marae_Hapu!$A$2:$A$500=A7,IFERROR(INDEX(Hapu!$B$2:$B$500,MATCH(Marae_Hapu!$B$2:$B$500,Hapu!$A$2:$A$500,0)),""),""))</f>
        <v>Ngāti Toki ki Te Moananui; Te Āki Tai; Te Whānau a Rangiwhaakahu</v>
      </c>
      <c r="H7" s="3" t="str">
        <f aca="false">IFERROR(INDEX(Marae_Hapu!$C$2:$C$500,MATCH(A7,Marae_Hapu!$A$2:$A$500,0)),"")</f>
        <v>I010</v>
      </c>
      <c r="I7" s="3" t="str">
        <f aca="false">IFERROR(INDEX(Iwi!$B$2:$B$500,MATCH(H7,Iwi!$A$2:$A$500,0)),"")</f>
        <v>Ngātiwai</v>
      </c>
      <c r="J7" s="3" t="str">
        <f aca="false">IFERROR(INDEX(Region!$B$2:$B$50,MATCH(INDEX(Iwi!$C$2:$C$500,MATCH(H7,Iwi!$A$2:$A$500,0)),Region!$A$2:$A$50,0)),"")</f>
        <v>Te Tai Tokerau</v>
      </c>
      <c r="K7" s="3" t="str">
        <f aca="false">IFERROR(INDEX(Representative_Org!$C$2:$C$500,MATCH(H7,Representative_Org!$B$2:$B$500,0)),"")</f>
        <v>Ngātiwai Trust</v>
      </c>
      <c r="L7" s="3" t="str">
        <f aca="false">IFERROR(INDEX(Representative_Org!$Q$2:$Q$500,MATCH(H7,Representative_Org!$B$2:$B$500,0)),"")</f>
        <v>09 430 0939</v>
      </c>
      <c r="M7" s="3" t="str">
        <f aca="false">IFERROR(INDEX(Representative_Org!$R$2:$R$500,MATCH(H7,Representative_Org!$B$2:$B$500,0)),"")</f>
        <v>ngatiwai@ngatiwai.iwi.nz</v>
      </c>
      <c r="N7" s="3" t="str">
        <f aca="false">IFERROR(INDEX(Representative_Org!$S$2:$S$500,MATCH(H7,Representative_Org!$B$2:$B$500,0)),"")</f>
        <v>https://www.ngatiwai.iwi.nz</v>
      </c>
      <c r="O7" s="3" t="str">
        <f aca="false">IFERROR(INDEX(Contact!$D$2:$D$500,MATCH(1,INDEX((Contact!$C$2:$C$500="Chair")*(Contact!$B$2:$B$500=IFERROR(INDEX(Representative_Org!$A$2:$A$500,MATCH(H7,Representative_Org!$B$2:$B$500,0)),"")),0),0)),"")</f>
        <v>Aperahama Edwards</v>
      </c>
      <c r="P7" s="3" t="str">
        <f aca="false">Marae!O7</f>
        <v>https://www.tkm.govt.nz/iwi/ngatiwai/</v>
      </c>
      <c r="Q7" s="3" t="str">
        <f aca="false">"&lt;b&gt;"&amp;B7&amp;"&lt;/b&gt;"&amp;IF(C7="","","&lt;br&gt;Wharenui: "&amp;C7)&amp;"&lt;br&gt;"&amp;F7&amp;"&lt;br&gt;&lt;b&gt;Hapū:&lt;/b&gt; "&amp;G7&amp;"&lt;br&gt;&lt;b&gt;Iwi:&lt;/b&gt; "&amp;I7&amp;" ("&amp;J7&amp;")"&amp;"&lt;br&gt;&lt;b&gt;Representative:&lt;/b&gt; "&amp;K7&amp;IF(O7="","","&lt;br&gt;Chair: "&amp;O7)&amp;IF(L7="","","&lt;br&gt;Ph: "&amp;L7)&amp;IF(M7="","","&lt;br&gt;Email: "&amp;M7)&amp;IF(N7="","","&lt;br&gt;&lt;a href="""&amp;N7&amp;"""&gt;Website&lt;/a&gt;")</f>
        <v>&lt;b&gt;Matapōuri&lt;/b&gt;&lt;br&gt;Wharenui: Te Tokomanawa o te Aroha&lt;br&gt;7 Mackie Place Matapōuri Bay&lt;br&gt;&lt;b&gt;Hapū:&lt;/b&gt; Ngāti Toki ki Te Moananui; Te Āki Tai; Te Whānau a Rangiwhaakahu&lt;br&gt;&lt;b&gt;Iwi:&lt;/b&gt;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8" customFormat="false" ht="57.45" hidden="false" customHeight="false" outlineLevel="0" collapsed="false">
      <c r="A8" s="3" t="str">
        <f aca="false">Marae!A8</f>
        <v>M0007</v>
      </c>
      <c r="B8" s="3" t="str">
        <f aca="false">Marae!B8</f>
        <v>Whananāki</v>
      </c>
      <c r="C8" s="3" t="str">
        <f aca="false">Marae!C8</f>
        <v>Whakapaumahara</v>
      </c>
      <c r="D8" s="3" t="str">
        <f aca="false">IF(Marae!I8="","",Marae!I8)</f>
        <v/>
      </c>
      <c r="E8" s="3" t="str">
        <f aca="false">IF(Marae!J8="","",Marae!J8)</f>
        <v/>
      </c>
      <c r="F8" s="3" t="str">
        <f aca="false">TRIM(Marae!E8&amp;" "&amp;Marae!F8)</f>
        <v>1836 Whananaki North Road Whananaki</v>
      </c>
      <c r="G8" s="3" t="str">
        <f aca="false" t="array" ref="G8:G8">_xlfn.TEXTJOIN("; ",TRUE(),IF(Marae_Hapu!$A$2:$A$500=A8,IFERROR(INDEX(Hapu!$B$2:$B$500,MATCH(Marae_Hapu!$B$2:$B$500,Hapu!$A$2:$A$500,0)),""),""))</f>
        <v>Te Āki Tai; Te Whānau Whero</v>
      </c>
      <c r="H8" s="3" t="str">
        <f aca="false">IFERROR(INDEX(Marae_Hapu!$C$2:$C$500,MATCH(A8,Marae_Hapu!$A$2:$A$500,0)),"")</f>
        <v>I010</v>
      </c>
      <c r="I8" s="3" t="str">
        <f aca="false">IFERROR(INDEX(Iwi!$B$2:$B$500,MATCH(H8,Iwi!$A$2:$A$500,0)),"")</f>
        <v>Ngātiwai</v>
      </c>
      <c r="J8" s="3" t="str">
        <f aca="false">IFERROR(INDEX(Region!$B$2:$B$50,MATCH(INDEX(Iwi!$C$2:$C$500,MATCH(H8,Iwi!$A$2:$A$500,0)),Region!$A$2:$A$50,0)),"")</f>
        <v>Te Tai Tokerau</v>
      </c>
      <c r="K8" s="3" t="str">
        <f aca="false">IFERROR(INDEX(Representative_Org!$C$2:$C$500,MATCH(H8,Representative_Org!$B$2:$B$500,0)),"")</f>
        <v>Ngātiwai Trust</v>
      </c>
      <c r="L8" s="3" t="str">
        <f aca="false">IFERROR(INDEX(Representative_Org!$Q$2:$Q$500,MATCH(H8,Representative_Org!$B$2:$B$500,0)),"")</f>
        <v>09 430 0939</v>
      </c>
      <c r="M8" s="3" t="str">
        <f aca="false">IFERROR(INDEX(Representative_Org!$R$2:$R$500,MATCH(H8,Representative_Org!$B$2:$B$500,0)),"")</f>
        <v>ngatiwai@ngatiwai.iwi.nz</v>
      </c>
      <c r="N8" s="3" t="str">
        <f aca="false">IFERROR(INDEX(Representative_Org!$S$2:$S$500,MATCH(H8,Representative_Org!$B$2:$B$500,0)),"")</f>
        <v>https://www.ngatiwai.iwi.nz</v>
      </c>
      <c r="O8" s="3" t="str">
        <f aca="false">IFERROR(INDEX(Contact!$D$2:$D$500,MATCH(1,INDEX((Contact!$C$2:$C$500="Chair")*(Contact!$B$2:$B$500=IFERROR(INDEX(Representative_Org!$A$2:$A$500,MATCH(H8,Representative_Org!$B$2:$B$500,0)),"")),0),0)),"")</f>
        <v>Aperahama Edwards</v>
      </c>
      <c r="P8" s="3" t="str">
        <f aca="false">Marae!O8</f>
        <v>https://www.tkm.govt.nz/iwi/ngatiwai/</v>
      </c>
      <c r="Q8" s="3" t="str">
        <f aca="false">"&lt;b&gt;"&amp;B8&amp;"&lt;/b&gt;"&amp;IF(C8="","","&lt;br&gt;Wharenui: "&amp;C8)&amp;"&lt;br&gt;"&amp;F8&amp;"&lt;br&gt;&lt;b&gt;Hapū:&lt;/b&gt; "&amp;G8&amp;"&lt;br&gt;&lt;b&gt;Iwi:&lt;/b&gt; "&amp;I8&amp;" ("&amp;J8&amp;")"&amp;"&lt;br&gt;&lt;b&gt;Representative:&lt;/b&gt; "&amp;K8&amp;IF(O8="","","&lt;br&gt;Chair: "&amp;O8)&amp;IF(L8="","","&lt;br&gt;Ph: "&amp;L8)&amp;IF(M8="","","&lt;br&gt;Email: "&amp;M8)&amp;IF(N8="","","&lt;br&gt;&lt;a href="""&amp;N8&amp;"""&gt;Website&lt;/a&gt;")</f>
        <v>&lt;b&gt;Whananāki&lt;/b&gt;&lt;br&gt;Wharenui: Whakapaumahara&lt;br&gt;1836 Whananaki North Road Whananaki&lt;br&gt;&lt;b&gt;Hapū:&lt;/b&gt; Te Āki Tai; Te Whānau Whero&lt;br&gt;&lt;b&gt;Iwi:&lt;/b&gt;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9" customFormat="false" ht="46.25" hidden="false" customHeight="false" outlineLevel="0" collapsed="false">
      <c r="A9" s="3" t="str">
        <f aca="false">Marae!A9</f>
        <v>M0008</v>
      </c>
      <c r="B9" s="3" t="str">
        <f aca="false">Marae!B9</f>
        <v>Takahiwai</v>
      </c>
      <c r="C9" s="3" t="str">
        <f aca="false">Marae!C9</f>
        <v>Rangiora</v>
      </c>
      <c r="D9" s="3" t="str">
        <f aca="false">IF(Marae!I9="","",Marae!I9)</f>
        <v/>
      </c>
      <c r="E9" s="3" t="str">
        <f aca="false">IF(Marae!J9="","",Marae!J9)</f>
        <v/>
      </c>
      <c r="F9" s="3" t="str">
        <f aca="false">TRIM(Marae!E9&amp;" "&amp;Marae!F9)</f>
        <v>229 Takahiwai Road Takahiwai</v>
      </c>
      <c r="G9" s="3" t="str">
        <f aca="false" t="array" ref="G9:G9">_xlfn.TEXTJOIN("; ",TRUE(),IF(Marae_Hapu!$A$2:$A$500=A9,IFERROR(INDEX(Hapu!$B$2:$B$500,MATCH(Marae_Hapu!$B$2:$B$500,Hapu!$A$2:$A$500,0)),""),""))</f>
        <v>Te Patuharakeke</v>
      </c>
      <c r="H9" s="3" t="str">
        <f aca="false">IFERROR(INDEX(Marae_Hapu!$C$2:$C$500,MATCH(A9,Marae_Hapu!$A$2:$A$500,0)),"")</f>
        <v>I010</v>
      </c>
      <c r="I9" s="3" t="str">
        <f aca="false">IFERROR(INDEX(Iwi!$B$2:$B$500,MATCH(H9,Iwi!$A$2:$A$500,0)),"")</f>
        <v>Ngātiwai</v>
      </c>
      <c r="J9" s="3" t="str">
        <f aca="false">IFERROR(INDEX(Region!$B$2:$B$50,MATCH(INDEX(Iwi!$C$2:$C$500,MATCH(H9,Iwi!$A$2:$A$500,0)),Region!$A$2:$A$50,0)),"")</f>
        <v>Te Tai Tokerau</v>
      </c>
      <c r="K9" s="3" t="str">
        <f aca="false">IFERROR(INDEX(Representative_Org!$C$2:$C$500,MATCH(H9,Representative_Org!$B$2:$B$500,0)),"")</f>
        <v>Ngātiwai Trust</v>
      </c>
      <c r="L9" s="3" t="str">
        <f aca="false">IFERROR(INDEX(Representative_Org!$Q$2:$Q$500,MATCH(H9,Representative_Org!$B$2:$B$500,0)),"")</f>
        <v>09 430 0939</v>
      </c>
      <c r="M9" s="3" t="str">
        <f aca="false">IFERROR(INDEX(Representative_Org!$R$2:$R$500,MATCH(H9,Representative_Org!$B$2:$B$500,0)),"")</f>
        <v>ngatiwai@ngatiwai.iwi.nz</v>
      </c>
      <c r="N9" s="3" t="str">
        <f aca="false">IFERROR(INDEX(Representative_Org!$S$2:$S$500,MATCH(H9,Representative_Org!$B$2:$B$500,0)),"")</f>
        <v>https://www.ngatiwai.iwi.nz</v>
      </c>
      <c r="O9" s="3" t="str">
        <f aca="false">IFERROR(INDEX(Contact!$D$2:$D$500,MATCH(1,INDEX((Contact!$C$2:$C$500="Chair")*(Contact!$B$2:$B$500=IFERROR(INDEX(Representative_Org!$A$2:$A$500,MATCH(H9,Representative_Org!$B$2:$B$500,0)),"")),0),0)),"")</f>
        <v>Aperahama Edwards</v>
      </c>
      <c r="P9" s="3" t="str">
        <f aca="false">Marae!O9</f>
        <v>https://www.tkm.govt.nz/iwi/ngatiwai/</v>
      </c>
      <c r="Q9" s="3" t="str">
        <f aca="false">"&lt;b&gt;"&amp;B9&amp;"&lt;/b&gt;"&amp;IF(C9="","","&lt;br&gt;Wharenui: "&amp;C9)&amp;"&lt;br&gt;"&amp;F9&amp;"&lt;br&gt;&lt;b&gt;Hapū:&lt;/b&gt; "&amp;G9&amp;"&lt;br&gt;&lt;b&gt;Iwi:&lt;/b&gt; "&amp;I9&amp;" ("&amp;J9&amp;")"&amp;"&lt;br&gt;&lt;b&gt;Representative:&lt;/b&gt; "&amp;K9&amp;IF(O9="","","&lt;br&gt;Chair: "&amp;O9)&amp;IF(L9="","","&lt;br&gt;Ph: "&amp;L9)&amp;IF(M9="","","&lt;br&gt;Email: "&amp;M9)&amp;IF(N9="","","&lt;br&gt;&lt;a href="""&amp;N9&amp;"""&gt;Website&lt;/a&gt;")</f>
        <v>&lt;b&gt;Takahiwai&lt;/b&gt;&lt;br&gt;Wharenui: Rangiora&lt;br&gt;229 Takahiwai Road Takahiwai&lt;br&gt;&lt;b&gt;Hapū:&lt;/b&gt; Te Patuharakeke&lt;br&gt;&lt;b&gt;Iwi:&lt;/b&gt;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0" customFormat="false" ht="46.25" hidden="false" customHeight="false" outlineLevel="0" collapsed="false">
      <c r="A10" s="3" t="str">
        <f aca="false">Marae!A10</f>
        <v>M0009</v>
      </c>
      <c r="B10" s="3" t="str">
        <f aca="false">Marae!B10</f>
        <v>Mōkau</v>
      </c>
      <c r="C10" s="3" t="str">
        <f aca="false">Marae!C10</f>
        <v>Huruiki</v>
      </c>
      <c r="D10" s="3" t="str">
        <f aca="false">IF(Marae!I10="","",Marae!I10)</f>
        <v/>
      </c>
      <c r="E10" s="3" t="str">
        <f aca="false">IF(Marae!J10="","",Marae!J10)</f>
        <v/>
      </c>
      <c r="F10" s="3" t="str">
        <f aca="false">TRIM(Marae!E10&amp;" "&amp;Marae!F10)</f>
        <v>2355 Russell Road Mōkau</v>
      </c>
      <c r="G10" s="3" t="str">
        <f aca="false" t="array" ref="G10:G10">_xlfn.TEXTJOIN("; ",TRUE(),IF(Marae_Hapu!$A$2:$A$500=A10,IFERROR(INDEX(Hapu!$B$2:$B$500,MATCH(Marae_Hapu!$B$2:$B$500,Hapu!$A$2:$A$500,0)),""),""))</f>
        <v>Te Uri o Hikihiki</v>
      </c>
      <c r="H10" s="3" t="str">
        <f aca="false">IFERROR(INDEX(Marae_Hapu!$C$2:$C$500,MATCH(A10,Marae_Hapu!$A$2:$A$500,0)),"")</f>
        <v>I010</v>
      </c>
      <c r="I10" s="3" t="str">
        <f aca="false">IFERROR(INDEX(Iwi!$B$2:$B$500,MATCH(H10,Iwi!$A$2:$A$500,0)),"")</f>
        <v>Ngātiwai</v>
      </c>
      <c r="J10" s="3" t="str">
        <f aca="false">IFERROR(INDEX(Region!$B$2:$B$50,MATCH(INDEX(Iwi!$C$2:$C$500,MATCH(H10,Iwi!$A$2:$A$500,0)),Region!$A$2:$A$50,0)),"")</f>
        <v>Te Tai Tokerau</v>
      </c>
      <c r="K10" s="3" t="str">
        <f aca="false">IFERROR(INDEX(Representative_Org!$C$2:$C$500,MATCH(H10,Representative_Org!$B$2:$B$500,0)),"")</f>
        <v>Ngātiwai Trust</v>
      </c>
      <c r="L10" s="3" t="str">
        <f aca="false">IFERROR(INDEX(Representative_Org!$Q$2:$Q$500,MATCH(H10,Representative_Org!$B$2:$B$500,0)),"")</f>
        <v>09 430 0939</v>
      </c>
      <c r="M10" s="3" t="str">
        <f aca="false">IFERROR(INDEX(Representative_Org!$R$2:$R$500,MATCH(H10,Representative_Org!$B$2:$B$500,0)),"")</f>
        <v>ngatiwai@ngatiwai.iwi.nz</v>
      </c>
      <c r="N10" s="3" t="str">
        <f aca="false">IFERROR(INDEX(Representative_Org!$S$2:$S$500,MATCH(H10,Representative_Org!$B$2:$B$500,0)),"")</f>
        <v>https://www.ngatiwai.iwi.nz</v>
      </c>
      <c r="O10" s="3" t="str">
        <f aca="false">IFERROR(INDEX(Contact!$D$2:$D$500,MATCH(1,INDEX((Contact!$C$2:$C$500="Chair")*(Contact!$B$2:$B$500=IFERROR(INDEX(Representative_Org!$A$2:$A$500,MATCH(H10,Representative_Org!$B$2:$B$500,0)),"")),0),0)),"")</f>
        <v>Aperahama Edwards</v>
      </c>
      <c r="P10" s="3" t="str">
        <f aca="false">Marae!O10</f>
        <v>https://www.tkm.govt.nz/iwi/ngatiwai/</v>
      </c>
      <c r="Q10" s="3" t="str">
        <f aca="false">"&lt;b&gt;"&amp;B10&amp;"&lt;/b&gt;"&amp;IF(C10="","","&lt;br&gt;Wharenui: "&amp;C10)&amp;"&lt;br&gt;"&amp;F10&amp;"&lt;br&gt;&lt;b&gt;Hapū:&lt;/b&gt; "&amp;G10&amp;"&lt;br&gt;&lt;b&gt;Iwi:&lt;/b&gt; "&amp;I10&amp;" ("&amp;J10&amp;")"&amp;"&lt;br&gt;&lt;b&gt;Representative:&lt;/b&gt; "&amp;K10&amp;IF(O10="","","&lt;br&gt;Chair: "&amp;O10)&amp;IF(L10="","","&lt;br&gt;Ph: "&amp;L10)&amp;IF(M10="","","&lt;br&gt;Email: "&amp;M10)&amp;IF(N10="","","&lt;br&gt;&lt;a href="""&amp;N10&amp;"""&gt;Website&lt;/a&gt;")</f>
        <v>&lt;b&gt;Mōkau&lt;/b&gt;&lt;br&gt;Wharenui: Huruiki&lt;br&gt;2355 Russell Road Mōkau&lt;br&gt;&lt;b&gt;Hapū:&lt;/b&gt;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1" customFormat="false" ht="57.45" hidden="false" customHeight="false" outlineLevel="0" collapsed="false">
      <c r="A11" s="3" t="str">
        <f aca="false">Marae!A11</f>
        <v>M0010</v>
      </c>
      <c r="B11" s="3" t="str">
        <f aca="false">Marae!B11</f>
        <v>Ngātiwai</v>
      </c>
      <c r="C11" s="3" t="str">
        <f aca="false">Marae!C11</f>
        <v>Ngāti Wai Soldiers' Memorial</v>
      </c>
      <c r="D11" s="3" t="str">
        <f aca="false">IF(Marae!I11="","",Marae!I11)</f>
        <v/>
      </c>
      <c r="E11" s="3" t="str">
        <f aca="false">IF(Marae!J11="","",Marae!J11)</f>
        <v/>
      </c>
      <c r="F11" s="3" t="str">
        <f aca="false">TRIM(Marae!E11&amp;" "&amp;Marae!F11)</f>
        <v>1561 Rawhiti Road Ngāiotonga</v>
      </c>
      <c r="G11" s="3" t="str">
        <f aca="false" t="array" ref="G11:G11">_xlfn.TEXTJOIN("; ",TRUE(),IF(Marae_Hapu!$A$2:$A$500=A11,IFERROR(INDEX(Hapu!$B$2:$B$500,MATCH(Marae_Hapu!$B$2:$B$500,Hapu!$A$2:$A$500,0)),""),""))</f>
        <v>Te Uri o Hikihiki</v>
      </c>
      <c r="H11" s="3" t="str">
        <f aca="false">IFERROR(INDEX(Marae_Hapu!$C$2:$C$500,MATCH(A11,Marae_Hapu!$A$2:$A$500,0)),"")</f>
        <v>I010</v>
      </c>
      <c r="I11" s="3" t="str">
        <f aca="false">IFERROR(INDEX(Iwi!$B$2:$B$500,MATCH(H11,Iwi!$A$2:$A$500,0)),"")</f>
        <v>Ngātiwai</v>
      </c>
      <c r="J11" s="3" t="str">
        <f aca="false">IFERROR(INDEX(Region!$B$2:$B$50,MATCH(INDEX(Iwi!$C$2:$C$500,MATCH(H11,Iwi!$A$2:$A$500,0)),Region!$A$2:$A$50,0)),"")</f>
        <v>Te Tai Tokerau</v>
      </c>
      <c r="K11" s="3" t="str">
        <f aca="false">IFERROR(INDEX(Representative_Org!$C$2:$C$500,MATCH(H11,Representative_Org!$B$2:$B$500,0)),"")</f>
        <v>Ngātiwai Trust</v>
      </c>
      <c r="L11" s="3" t="str">
        <f aca="false">IFERROR(INDEX(Representative_Org!$Q$2:$Q$500,MATCH(H11,Representative_Org!$B$2:$B$500,0)),"")</f>
        <v>09 430 0939</v>
      </c>
      <c r="M11" s="3" t="str">
        <f aca="false">IFERROR(INDEX(Representative_Org!$R$2:$R$500,MATCH(H11,Representative_Org!$B$2:$B$500,0)),"")</f>
        <v>ngatiwai@ngatiwai.iwi.nz</v>
      </c>
      <c r="N11" s="3" t="str">
        <f aca="false">IFERROR(INDEX(Representative_Org!$S$2:$S$500,MATCH(H11,Representative_Org!$B$2:$B$500,0)),"")</f>
        <v>https://www.ngatiwai.iwi.nz</v>
      </c>
      <c r="O11" s="3" t="str">
        <f aca="false">IFERROR(INDEX(Contact!$D$2:$D$500,MATCH(1,INDEX((Contact!$C$2:$C$500="Chair")*(Contact!$B$2:$B$500=IFERROR(INDEX(Representative_Org!$A$2:$A$500,MATCH(H11,Representative_Org!$B$2:$B$500,0)),"")),0),0)),"")</f>
        <v>Aperahama Edwards</v>
      </c>
      <c r="P11" s="3" t="str">
        <f aca="false">Marae!O11</f>
        <v>https://www.tkm.govt.nz/iwi/ngatiwai/</v>
      </c>
      <c r="Q11" s="3" t="str">
        <f aca="false">"&lt;b&gt;"&amp;B11&amp;"&lt;/b&gt;"&amp;IF(C11="","","&lt;br&gt;Wharenui: "&amp;C11)&amp;"&lt;br&gt;"&amp;F11&amp;"&lt;br&gt;&lt;b&gt;Hapū:&lt;/b&gt; "&amp;G11&amp;"&lt;br&gt;&lt;b&gt;Iwi:&lt;/b&gt; "&amp;I11&amp;" ("&amp;J11&amp;")"&amp;"&lt;br&gt;&lt;b&gt;Representative:&lt;/b&gt; "&amp;K11&amp;IF(O11="","","&lt;br&gt;Chair: "&amp;O11)&amp;IF(L11="","","&lt;br&gt;Ph: "&amp;L11)&amp;IF(M11="","","&lt;br&gt;Email: "&amp;M11)&amp;IF(N11="","","&lt;br&gt;&lt;a href="""&amp;N11&amp;"""&gt;Website&lt;/a&gt;")</f>
        <v>&lt;b&gt;Ngātiwai&lt;/b&gt;&lt;br&gt;Wharenui: Ngāti Wai Soldiers' Memorial&lt;br&gt;1561 Rawhiti Road Ngāiotonga&lt;br&gt;&lt;b&gt;Hapū:&lt;/b&gt;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2" customFormat="false" ht="57.45" hidden="false" customHeight="false" outlineLevel="0" collapsed="false">
      <c r="A12" s="3" t="str">
        <f aca="false">Marae!A12</f>
        <v>M0011</v>
      </c>
      <c r="B12" s="3" t="str">
        <f aca="false">Marae!B12</f>
        <v>Ōākura</v>
      </c>
      <c r="C12" s="3" t="str">
        <f aca="false">Marae!C12</f>
        <v>*Building in progress*</v>
      </c>
      <c r="D12" s="3" t="str">
        <f aca="false">IF(Marae!I12="","",Marae!I12)</f>
        <v/>
      </c>
      <c r="E12" s="3" t="str">
        <f aca="false">IF(Marae!J12="","",Marae!J12)</f>
        <v/>
      </c>
      <c r="F12" s="3" t="str">
        <f aca="false">TRIM(Marae!E12&amp;" "&amp;Marae!F12)</f>
        <v>2513 Russell Road Ōākura, Whangaruru</v>
      </c>
      <c r="G12" s="3" t="str">
        <f aca="false" t="array" ref="G12:G12">_xlfn.TEXTJOIN("; ",TRUE(),IF(Marae_Hapu!$A$2:$A$500=A12,IFERROR(INDEX(Hapu!$B$2:$B$500,MATCH(Marae_Hapu!$B$2:$B$500,Hapu!$A$2:$A$500,0)),""),""))</f>
        <v>Te Uri o Hikihiki</v>
      </c>
      <c r="H12" s="3" t="str">
        <f aca="false">IFERROR(INDEX(Marae_Hapu!$C$2:$C$500,MATCH(A12,Marae_Hapu!$A$2:$A$500,0)),"")</f>
        <v>I010</v>
      </c>
      <c r="I12" s="3" t="str">
        <f aca="false">IFERROR(INDEX(Iwi!$B$2:$B$500,MATCH(H12,Iwi!$A$2:$A$500,0)),"")</f>
        <v>Ngātiwai</v>
      </c>
      <c r="J12" s="3" t="str">
        <f aca="false">IFERROR(INDEX(Region!$B$2:$B$50,MATCH(INDEX(Iwi!$C$2:$C$500,MATCH(H12,Iwi!$A$2:$A$500,0)),Region!$A$2:$A$50,0)),"")</f>
        <v>Te Tai Tokerau</v>
      </c>
      <c r="K12" s="3" t="str">
        <f aca="false">IFERROR(INDEX(Representative_Org!$C$2:$C$500,MATCH(H12,Representative_Org!$B$2:$B$500,0)),"")</f>
        <v>Ngātiwai Trust</v>
      </c>
      <c r="L12" s="3" t="str">
        <f aca="false">IFERROR(INDEX(Representative_Org!$Q$2:$Q$500,MATCH(H12,Representative_Org!$B$2:$B$500,0)),"")</f>
        <v>09 430 0939</v>
      </c>
      <c r="M12" s="3" t="str">
        <f aca="false">IFERROR(INDEX(Representative_Org!$R$2:$R$500,MATCH(H12,Representative_Org!$B$2:$B$500,0)),"")</f>
        <v>ngatiwai@ngatiwai.iwi.nz</v>
      </c>
      <c r="N12" s="3" t="str">
        <f aca="false">IFERROR(INDEX(Representative_Org!$S$2:$S$500,MATCH(H12,Representative_Org!$B$2:$B$500,0)),"")</f>
        <v>https://www.ngatiwai.iwi.nz</v>
      </c>
      <c r="O12" s="3" t="str">
        <f aca="false">IFERROR(INDEX(Contact!$D$2:$D$500,MATCH(1,INDEX((Contact!$C$2:$C$500="Chair")*(Contact!$B$2:$B$500=IFERROR(INDEX(Representative_Org!$A$2:$A$500,MATCH(H12,Representative_Org!$B$2:$B$500,0)),"")),0),0)),"")</f>
        <v>Aperahama Edwards</v>
      </c>
      <c r="P12" s="3" t="str">
        <f aca="false">Marae!O12</f>
        <v>https://www.tkm.govt.nz/iwi/ngatiwai/</v>
      </c>
      <c r="Q12" s="3" t="str">
        <f aca="false">"&lt;b&gt;"&amp;B12&amp;"&lt;/b&gt;"&amp;IF(C12="","","&lt;br&gt;Wharenui: "&amp;C12)&amp;"&lt;br&gt;"&amp;F12&amp;"&lt;br&gt;&lt;b&gt;Hapū:&lt;/b&gt; "&amp;G12&amp;"&lt;br&gt;&lt;b&gt;Iwi:&lt;/b&gt; "&amp;I12&amp;" ("&amp;J12&amp;")"&amp;"&lt;br&gt;&lt;b&gt;Representative:&lt;/b&gt; "&amp;K12&amp;IF(O12="","","&lt;br&gt;Chair: "&amp;O12)&amp;IF(L12="","","&lt;br&gt;Ph: "&amp;L12)&amp;IF(M12="","","&lt;br&gt;Email: "&amp;M12)&amp;IF(N12="","","&lt;br&gt;&lt;a href="""&amp;N12&amp;"""&gt;Website&lt;/a&gt;")</f>
        <v>&lt;b&gt;Ōākura&lt;/b&gt;&lt;br&gt;Wharenui: *Building in progress*&lt;br&gt;2513 Russell Road Ōākura, Whangaruru&lt;br&gt;&lt;b&gt;Hapū:&lt;/b&gt;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3" customFormat="false" ht="57.45" hidden="false" customHeight="false" outlineLevel="0" collapsed="false">
      <c r="A13" s="3" t="str">
        <f aca="false">Marae!A13</f>
        <v>M0012</v>
      </c>
      <c r="B13" s="3" t="str">
        <f aca="false">Marae!B13</f>
        <v>Ōtetao Reti (Ōtetao)</v>
      </c>
      <c r="C13" s="3" t="str">
        <f aca="false">Marae!C13</f>
        <v>Hoori Reti</v>
      </c>
      <c r="D13" s="3" t="str">
        <f aca="false">IF(Marae!I13="","",Marae!I13)</f>
        <v/>
      </c>
      <c r="E13" s="3" t="str">
        <f aca="false">IF(Marae!J13="","",Marae!J13)</f>
        <v/>
      </c>
      <c r="F13" s="3" t="str">
        <f aca="false">TRIM(Marae!E13&amp;" "&amp;Marae!F13)</f>
        <v>2809 Russell Road Punaruku</v>
      </c>
      <c r="G13" s="3" t="str">
        <f aca="false" t="array" ref="G13:G13">_xlfn.TEXTJOIN("; ",TRUE(),IF(Marae_Hapu!$A$2:$A$500=A13,IFERROR(INDEX(Hapu!$B$2:$B$500,MATCH(Marae_Hapu!$B$2:$B$500,Hapu!$A$2:$A$500,0)),""),""))</f>
        <v>Te Uri o Hikihiki</v>
      </c>
      <c r="H13" s="3" t="str">
        <f aca="false">IFERROR(INDEX(Marae_Hapu!$C$2:$C$500,MATCH(A13,Marae_Hapu!$A$2:$A$500,0)),"")</f>
        <v>I010</v>
      </c>
      <c r="I13" s="3" t="str">
        <f aca="false">IFERROR(INDEX(Iwi!$B$2:$B$500,MATCH(H13,Iwi!$A$2:$A$500,0)),"")</f>
        <v>Ngātiwai</v>
      </c>
      <c r="J13" s="3" t="str">
        <f aca="false">IFERROR(INDEX(Region!$B$2:$B$50,MATCH(INDEX(Iwi!$C$2:$C$500,MATCH(H13,Iwi!$A$2:$A$500,0)),Region!$A$2:$A$50,0)),"")</f>
        <v>Te Tai Tokerau</v>
      </c>
      <c r="K13" s="3" t="str">
        <f aca="false">IFERROR(INDEX(Representative_Org!$C$2:$C$500,MATCH(H13,Representative_Org!$B$2:$B$500,0)),"")</f>
        <v>Ngātiwai Trust</v>
      </c>
      <c r="L13" s="3" t="str">
        <f aca="false">IFERROR(INDEX(Representative_Org!$Q$2:$Q$500,MATCH(H13,Representative_Org!$B$2:$B$500,0)),"")</f>
        <v>09 430 0939</v>
      </c>
      <c r="M13" s="3" t="str">
        <f aca="false">IFERROR(INDEX(Representative_Org!$R$2:$R$500,MATCH(H13,Representative_Org!$B$2:$B$500,0)),"")</f>
        <v>ngatiwai@ngatiwai.iwi.nz</v>
      </c>
      <c r="N13" s="3" t="str">
        <f aca="false">IFERROR(INDEX(Representative_Org!$S$2:$S$500,MATCH(H13,Representative_Org!$B$2:$B$500,0)),"")</f>
        <v>https://www.ngatiwai.iwi.nz</v>
      </c>
      <c r="O13" s="3" t="str">
        <f aca="false">IFERROR(INDEX(Contact!$D$2:$D$500,MATCH(1,INDEX((Contact!$C$2:$C$500="Chair")*(Contact!$B$2:$B$500=IFERROR(INDEX(Representative_Org!$A$2:$A$500,MATCH(H13,Representative_Org!$B$2:$B$500,0)),"")),0),0)),"")</f>
        <v>Aperahama Edwards</v>
      </c>
      <c r="P13" s="3" t="str">
        <f aca="false">Marae!O13</f>
        <v>https://www.tkm.govt.nz/iwi/ngatiwai/</v>
      </c>
      <c r="Q13" s="3" t="str">
        <f aca="false">"&lt;b&gt;"&amp;B13&amp;"&lt;/b&gt;"&amp;IF(C13="","","&lt;br&gt;Wharenui: "&amp;C13)&amp;"&lt;br&gt;"&amp;F13&amp;"&lt;br&gt;&lt;b&gt;Hapū:&lt;/b&gt; "&amp;G13&amp;"&lt;br&gt;&lt;b&gt;Iwi:&lt;/b&gt; "&amp;I13&amp;" ("&amp;J13&amp;")"&amp;"&lt;br&gt;&lt;b&gt;Representative:&lt;/b&gt; "&amp;K13&amp;IF(O13="","","&lt;br&gt;Chair: "&amp;O13)&amp;IF(L13="","","&lt;br&gt;Ph: "&amp;L13)&amp;IF(M13="","","&lt;br&gt;Email: "&amp;M13)&amp;IF(N13="","","&lt;br&gt;&lt;a href="""&amp;N13&amp;"""&gt;Website&lt;/a&gt;")</f>
        <v>&lt;b&gt;Ōtetao Reti (Ōtetao)&lt;/b&gt;&lt;br&gt;Wharenui: Hoori Reti&lt;br&gt;2809 Russell Road Punaruku&lt;br&gt;&lt;b&gt;Hapū:&lt;/b&gt;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4" customFormat="false" ht="46.25" hidden="false" customHeight="false" outlineLevel="0" collapsed="false">
      <c r="A14" s="3" t="str">
        <f aca="false">Marae!A14</f>
        <v>M0013</v>
      </c>
      <c r="B14" s="3" t="str">
        <f aca="false">Marae!B14</f>
        <v>Punaruku</v>
      </c>
      <c r="C14" s="3" t="n">
        <f aca="false">Marae!C14</f>
        <v>0</v>
      </c>
      <c r="D14" s="3" t="str">
        <f aca="false">IF(Marae!I14="","",Marae!I14)</f>
        <v/>
      </c>
      <c r="E14" s="3" t="str">
        <f aca="false">IF(Marae!J14="","",Marae!J14)</f>
        <v/>
      </c>
      <c r="F14" s="3" t="str">
        <f aca="false">TRIM(Marae!E14&amp;" "&amp;Marae!F14)</f>
        <v>Old Russell Road Punaruku</v>
      </c>
      <c r="G14" s="3" t="str">
        <f aca="false" t="array" ref="G14:G14">_xlfn.TEXTJOIN("; ",TRUE(),IF(Marae_Hapu!$A$2:$A$500=A14,IFERROR(INDEX(Hapu!$B$2:$B$500,MATCH(Marae_Hapu!$B$2:$B$500,Hapu!$A$2:$A$500,0)),""),""))</f>
        <v>Te Uri o Hikihiki</v>
      </c>
      <c r="H14" s="3" t="str">
        <f aca="false">IFERROR(INDEX(Marae_Hapu!$C$2:$C$500,MATCH(A14,Marae_Hapu!$A$2:$A$500,0)),"")</f>
        <v>I010</v>
      </c>
      <c r="I14" s="3" t="str">
        <f aca="false">IFERROR(INDEX(Iwi!$B$2:$B$500,MATCH(H14,Iwi!$A$2:$A$500,0)),"")</f>
        <v>Ngātiwai</v>
      </c>
      <c r="J14" s="3" t="str">
        <f aca="false">IFERROR(INDEX(Region!$B$2:$B$50,MATCH(INDEX(Iwi!$C$2:$C$500,MATCH(H14,Iwi!$A$2:$A$500,0)),Region!$A$2:$A$50,0)),"")</f>
        <v>Te Tai Tokerau</v>
      </c>
      <c r="K14" s="3" t="str">
        <f aca="false">IFERROR(INDEX(Representative_Org!$C$2:$C$500,MATCH(H14,Representative_Org!$B$2:$B$500,0)),"")</f>
        <v>Ngātiwai Trust</v>
      </c>
      <c r="L14" s="3" t="str">
        <f aca="false">IFERROR(INDEX(Representative_Org!$Q$2:$Q$500,MATCH(H14,Representative_Org!$B$2:$B$500,0)),"")</f>
        <v>09 430 0939</v>
      </c>
      <c r="M14" s="3" t="str">
        <f aca="false">IFERROR(INDEX(Representative_Org!$R$2:$R$500,MATCH(H14,Representative_Org!$B$2:$B$500,0)),"")</f>
        <v>ngatiwai@ngatiwai.iwi.nz</v>
      </c>
      <c r="N14" s="3" t="str">
        <f aca="false">IFERROR(INDEX(Representative_Org!$S$2:$S$500,MATCH(H14,Representative_Org!$B$2:$B$500,0)),"")</f>
        <v>https://www.ngatiwai.iwi.nz</v>
      </c>
      <c r="O14" s="3" t="str">
        <f aca="false">IFERROR(INDEX(Contact!$D$2:$D$500,MATCH(1,INDEX((Contact!$C$2:$C$500="Chair")*(Contact!$B$2:$B$500=IFERROR(INDEX(Representative_Org!$A$2:$A$500,MATCH(H14,Representative_Org!$B$2:$B$500,0)),"")),0),0)),"")</f>
        <v>Aperahama Edwards</v>
      </c>
      <c r="P14" s="3" t="str">
        <f aca="false">Marae!O14</f>
        <v>https://www.tkm.govt.nz/iwi/ngatiwai/</v>
      </c>
      <c r="Q14" s="3" t="str">
        <f aca="false">"&lt;b&gt;"&amp;B14&amp;"&lt;/b&gt;"&amp;IF(C14="","","&lt;br&gt;Wharenui: "&amp;C14)&amp;"&lt;br&gt;"&amp;F14&amp;"&lt;br&gt;&lt;b&gt;Hapū:&lt;/b&gt; "&amp;G14&amp;"&lt;br&gt;&lt;b&gt;Iwi:&lt;/b&gt; "&amp;I14&amp;" ("&amp;J14&amp;")"&amp;"&lt;br&gt;&lt;b&gt;Representative:&lt;/b&gt; "&amp;K14&amp;IF(O14="","","&lt;br&gt;Chair: "&amp;O14)&amp;IF(L14="","","&lt;br&gt;Ph: "&amp;L14)&amp;IF(M14="","","&lt;br&gt;Email: "&amp;M14)&amp;IF(N14="","","&lt;br&gt;&lt;a href="""&amp;N14&amp;"""&gt;Website&lt;/a&gt;")</f>
        <v>&lt;b&gt;Punaruku&lt;/b&gt;&lt;br&gt;Old Russell Road Punaruku&lt;br&gt;&lt;b&gt;Hapū:&lt;/b&gt;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5" customFormat="false" ht="57.45" hidden="false" customHeight="false" outlineLevel="0" collapsed="false">
      <c r="A15" s="3" t="str">
        <f aca="false">Marae!A15</f>
        <v>M0014</v>
      </c>
      <c r="B15" s="3" t="str">
        <f aca="false">Marae!B15</f>
        <v>Tuparehuia</v>
      </c>
      <c r="C15" s="3" t="str">
        <f aca="false">Marae!C15</f>
        <v>*No wharenui*</v>
      </c>
      <c r="D15" s="3" t="str">
        <f aca="false">IF(Marae!I15="","",Marae!I15)</f>
        <v/>
      </c>
      <c r="E15" s="3" t="str">
        <f aca="false">IF(Marae!J15="","",Marae!J15)</f>
        <v/>
      </c>
      <c r="F15" s="3" t="str">
        <f aca="false">TRIM(Marae!E15&amp;" "&amp;Marae!F15)</f>
        <v>Whangaruru North Road Whangaruru</v>
      </c>
      <c r="G15" s="3" t="str">
        <f aca="false" t="array" ref="G15:G15">_xlfn.TEXTJOIN("; ",TRUE(),IF(Marae_Hapu!$A$2:$A$500=A15,IFERROR(INDEX(Hapu!$B$2:$B$500,MATCH(Marae_Hapu!$B$2:$B$500,Hapu!$A$2:$A$500,0)),""),""))</f>
        <v>Te Uri o Hikihiki</v>
      </c>
      <c r="H15" s="3" t="str">
        <f aca="false">IFERROR(INDEX(Marae_Hapu!$C$2:$C$500,MATCH(A15,Marae_Hapu!$A$2:$A$500,0)),"")</f>
        <v>I010</v>
      </c>
      <c r="I15" s="3" t="str">
        <f aca="false">IFERROR(INDEX(Iwi!$B$2:$B$500,MATCH(H15,Iwi!$A$2:$A$500,0)),"")</f>
        <v>Ngātiwai</v>
      </c>
      <c r="J15" s="3" t="str">
        <f aca="false">IFERROR(INDEX(Region!$B$2:$B$50,MATCH(INDEX(Iwi!$C$2:$C$500,MATCH(H15,Iwi!$A$2:$A$500,0)),Region!$A$2:$A$50,0)),"")</f>
        <v>Te Tai Tokerau</v>
      </c>
      <c r="K15" s="3" t="str">
        <f aca="false">IFERROR(INDEX(Representative_Org!$C$2:$C$500,MATCH(H15,Representative_Org!$B$2:$B$500,0)),"")</f>
        <v>Ngātiwai Trust</v>
      </c>
      <c r="L15" s="3" t="str">
        <f aca="false">IFERROR(INDEX(Representative_Org!$Q$2:$Q$500,MATCH(H15,Representative_Org!$B$2:$B$500,0)),"")</f>
        <v>09 430 0939</v>
      </c>
      <c r="M15" s="3" t="str">
        <f aca="false">IFERROR(INDEX(Representative_Org!$R$2:$R$500,MATCH(H15,Representative_Org!$B$2:$B$500,0)),"")</f>
        <v>ngatiwai@ngatiwai.iwi.nz</v>
      </c>
      <c r="N15" s="3" t="str">
        <f aca="false">IFERROR(INDEX(Representative_Org!$S$2:$S$500,MATCH(H15,Representative_Org!$B$2:$B$500,0)),"")</f>
        <v>https://www.ngatiwai.iwi.nz</v>
      </c>
      <c r="O15" s="3" t="str">
        <f aca="false">IFERROR(INDEX(Contact!$D$2:$D$500,MATCH(1,INDEX((Contact!$C$2:$C$500="Chair")*(Contact!$B$2:$B$500=IFERROR(INDEX(Representative_Org!$A$2:$A$500,MATCH(H15,Representative_Org!$B$2:$B$500,0)),"")),0),0)),"")</f>
        <v>Aperahama Edwards</v>
      </c>
      <c r="P15" s="3" t="str">
        <f aca="false">Marae!O15</f>
        <v>https://www.tkm.govt.nz/iwi/ngatiwai/</v>
      </c>
      <c r="Q15" s="3" t="str">
        <f aca="false">"&lt;b&gt;"&amp;B15&amp;"&lt;/b&gt;"&amp;IF(C15="","","&lt;br&gt;Wharenui: "&amp;C15)&amp;"&lt;br&gt;"&amp;F15&amp;"&lt;br&gt;&lt;b&gt;Hapū:&lt;/b&gt; "&amp;G15&amp;"&lt;br&gt;&lt;b&gt;Iwi:&lt;/b&gt; "&amp;I15&amp;" ("&amp;J15&amp;")"&amp;"&lt;br&gt;&lt;b&gt;Representative:&lt;/b&gt; "&amp;K15&amp;IF(O15="","","&lt;br&gt;Chair: "&amp;O15)&amp;IF(L15="","","&lt;br&gt;Ph: "&amp;L15)&amp;IF(M15="","","&lt;br&gt;Email: "&amp;M15)&amp;IF(N15="","","&lt;br&gt;&lt;a href="""&amp;N15&amp;"""&gt;Website&lt;/a&gt;")</f>
        <v>&lt;b&gt;Tuparehuia&lt;/b&gt;&lt;br&gt;Wharenui: *No wharenui*&lt;br&gt;Whangaruru North Road Whangaruru&lt;br&gt;&lt;b&gt;Hapū:&lt;/b&gt;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2026-09-15T20:21:43Z</dcterms:created>
  <dc:creator>openpyxl</dc:creator>
  <dc:description/>
  <dc:language>en-US</dc:language>
  <cp:lastModifiedBy/>
  <dcterms:modified xsi:type="dcterms:W3CDTF">2026-09-15T20:21:43Z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